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gdede\code\Gokhan-Dede\Gokhan-Dede\data\Map\"/>
    </mc:Choice>
  </mc:AlternateContent>
  <xr:revisionPtr revIDLastSave="0" documentId="13_ncr:1_{7CB9D761-B722-4D08-BA2A-3B30DE7D3DCC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Exterior Wall Systems" sheetId="1" r:id="rId1"/>
    <sheet name="Interior Wall Systems" sheetId="2" r:id="rId2"/>
    <sheet name="Cladding Systems" sheetId="3" r:id="rId3"/>
    <sheet name="Slab Systems" sheetId="4" r:id="rId4"/>
    <sheet name="Floor Finishes" sheetId="5" r:id="rId5"/>
    <sheet name="A4 Calculations" sheetId="6" r:id="rId6"/>
  </sheets>
  <definedNames>
    <definedName name="_xlnm._FilterDatabase" localSheetId="3" hidden="1">'Slab Systems'!$A$1:$W$35</definedName>
  </definedNames>
  <calcPr calcId="181029"/>
</workbook>
</file>

<file path=xl/calcChain.xml><?xml version="1.0" encoding="utf-8"?>
<calcChain xmlns="http://schemas.openxmlformats.org/spreadsheetml/2006/main">
  <c r="F3" i="6" l="1"/>
  <c r="G3" i="6" s="1"/>
  <c r="I3" i="6" s="1"/>
  <c r="L3" i="6" s="1"/>
  <c r="M3" i="6" s="1"/>
  <c r="F2" i="6"/>
  <c r="G2" i="6" s="1"/>
  <c r="I2" i="6" s="1"/>
  <c r="L2" i="6" s="1"/>
  <c r="M2" i="6" s="1"/>
  <c r="K3" i="6"/>
  <c r="K2" i="6"/>
  <c r="K20" i="5" l="1"/>
  <c r="O20" i="5" s="1"/>
  <c r="O14" i="5"/>
  <c r="O11" i="5"/>
  <c r="O8" i="5"/>
  <c r="O6" i="5"/>
  <c r="K6" i="5"/>
  <c r="K5" i="5"/>
  <c r="O5" i="5" s="1"/>
  <c r="O3" i="5"/>
  <c r="K3" i="5"/>
  <c r="V50" i="4"/>
  <c r="W50" i="4" s="1"/>
  <c r="O50" i="4"/>
  <c r="Q50" i="4" s="1"/>
  <c r="R50" i="4" s="1"/>
  <c r="O49" i="4"/>
  <c r="Q49" i="4" s="1"/>
  <c r="O48" i="4"/>
  <c r="Q48" i="4" s="1"/>
  <c r="Q47" i="4"/>
  <c r="V47" i="4" s="1"/>
  <c r="W47" i="4" s="1"/>
  <c r="Q46" i="4"/>
  <c r="V46" i="4" s="1"/>
  <c r="W46" i="4" s="1"/>
  <c r="O45" i="4"/>
  <c r="Q45" i="4" s="1"/>
  <c r="Q44" i="4"/>
  <c r="V44" i="4" s="1"/>
  <c r="W44" i="4" s="1"/>
  <c r="V43" i="4"/>
  <c r="W43" i="4" s="1"/>
  <c r="Q43" i="4"/>
  <c r="R43" i="4" s="1"/>
  <c r="V42" i="4"/>
  <c r="W42" i="4" s="1"/>
  <c r="Q42" i="4"/>
  <c r="W41" i="4"/>
  <c r="V41" i="4"/>
  <c r="O41" i="4"/>
  <c r="Q41" i="4" s="1"/>
  <c r="R41" i="4" s="1"/>
  <c r="Q40" i="4"/>
  <c r="O40" i="4"/>
  <c r="O39" i="4"/>
  <c r="Q39" i="4" s="1"/>
  <c r="V39" i="4" s="1"/>
  <c r="W39" i="4" s="1"/>
  <c r="V38" i="4"/>
  <c r="W38" i="4" s="1"/>
  <c r="Q38" i="4"/>
  <c r="Q37" i="4"/>
  <c r="V37" i="4" s="1"/>
  <c r="W37" i="4" s="1"/>
  <c r="Q36" i="4"/>
  <c r="O36" i="4"/>
  <c r="O35" i="4"/>
  <c r="Q35" i="4" s="1"/>
  <c r="V35" i="4" s="1"/>
  <c r="W35" i="4" s="1"/>
  <c r="V34" i="4"/>
  <c r="W34" i="4" s="1"/>
  <c r="Q34" i="4"/>
  <c r="R34" i="4" s="1"/>
  <c r="V33" i="4"/>
  <c r="W33" i="4" s="1"/>
  <c r="Q33" i="4"/>
  <c r="R33" i="4" s="1"/>
  <c r="O33" i="4"/>
  <c r="W32" i="4"/>
  <c r="V32" i="4"/>
  <c r="O32" i="4"/>
  <c r="Q32" i="4" s="1"/>
  <c r="R32" i="4" s="1"/>
  <c r="Q31" i="4"/>
  <c r="V30" i="4"/>
  <c r="W30" i="4" s="1"/>
  <c r="Q30" i="4"/>
  <c r="R30" i="4" s="1"/>
  <c r="O30" i="4"/>
  <c r="R29" i="4"/>
  <c r="Q29" i="4"/>
  <c r="V29" i="4" s="1"/>
  <c r="W29" i="4" s="1"/>
  <c r="R28" i="4"/>
  <c r="Q28" i="4"/>
  <c r="V28" i="4" s="1"/>
  <c r="W28" i="4" s="1"/>
  <c r="O27" i="4"/>
  <c r="Q27" i="4" s="1"/>
  <c r="V27" i="4" s="1"/>
  <c r="W27" i="4" s="1"/>
  <c r="V26" i="4"/>
  <c r="W26" i="4" s="1"/>
  <c r="Q26" i="4"/>
  <c r="R26" i="4" s="1"/>
  <c r="O26" i="4"/>
  <c r="R25" i="4"/>
  <c r="O25" i="4"/>
  <c r="Q25" i="4" s="1"/>
  <c r="V25" i="4" s="1"/>
  <c r="W25" i="4" s="1"/>
  <c r="Q24" i="4"/>
  <c r="R24" i="4" s="1"/>
  <c r="O24" i="4"/>
  <c r="O23" i="4"/>
  <c r="Q23" i="4" s="1"/>
  <c r="V23" i="4" s="1"/>
  <c r="W23" i="4" s="1"/>
  <c r="V22" i="4"/>
  <c r="W22" i="4" s="1"/>
  <c r="Q22" i="4"/>
  <c r="R22" i="4" s="1"/>
  <c r="O22" i="4"/>
  <c r="W21" i="4"/>
  <c r="V21" i="4"/>
  <c r="R21" i="4"/>
  <c r="O21" i="4"/>
  <c r="Q21" i="4" s="1"/>
  <c r="Q20" i="4"/>
  <c r="R20" i="4" s="1"/>
  <c r="V19" i="4"/>
  <c r="W19" i="4" s="1"/>
  <c r="Q19" i="4"/>
  <c r="R19" i="4" s="1"/>
  <c r="O19" i="4"/>
  <c r="W18" i="4"/>
  <c r="R18" i="4"/>
  <c r="Q18" i="4"/>
  <c r="V18" i="4" s="1"/>
  <c r="R17" i="4"/>
  <c r="Q17" i="4"/>
  <c r="V17" i="4" s="1"/>
  <c r="W17" i="4" s="1"/>
  <c r="R16" i="4"/>
  <c r="Q16" i="4"/>
  <c r="V16" i="4" s="1"/>
  <c r="W16" i="4" s="1"/>
  <c r="O15" i="4"/>
  <c r="Q15" i="4" s="1"/>
  <c r="V15" i="4" s="1"/>
  <c r="W15" i="4" s="1"/>
  <c r="V14" i="4"/>
  <c r="W14" i="4" s="1"/>
  <c r="Q14" i="4"/>
  <c r="R14" i="4" s="1"/>
  <c r="O14" i="4"/>
  <c r="R13" i="4"/>
  <c r="O13" i="4"/>
  <c r="Q13" i="4" s="1"/>
  <c r="V13" i="4" s="1"/>
  <c r="W13" i="4" s="1"/>
  <c r="Q12" i="4"/>
  <c r="R12" i="4" s="1"/>
  <c r="O12" i="4"/>
  <c r="O11" i="4"/>
  <c r="Q11" i="4" s="1"/>
  <c r="V11" i="4" s="1"/>
  <c r="W11" i="4" s="1"/>
  <c r="V10" i="4"/>
  <c r="W10" i="4" s="1"/>
  <c r="Q10" i="4"/>
  <c r="R10" i="4" s="1"/>
  <c r="O10" i="4"/>
  <c r="W9" i="4"/>
  <c r="V9" i="4"/>
  <c r="R9" i="4"/>
  <c r="Q9" i="4"/>
  <c r="W8" i="4"/>
  <c r="V8" i="4"/>
  <c r="R8" i="4"/>
  <c r="O8" i="4"/>
  <c r="Q8" i="4" s="1"/>
  <c r="Q7" i="4"/>
  <c r="R7" i="4" s="1"/>
  <c r="V6" i="4"/>
  <c r="W6" i="4" s="1"/>
  <c r="Q6" i="4"/>
  <c r="R6" i="4" s="1"/>
  <c r="Q5" i="4"/>
  <c r="R5" i="4" s="1"/>
  <c r="O5" i="4"/>
  <c r="O4" i="4"/>
  <c r="Q4" i="4" s="1"/>
  <c r="V4" i="4" s="1"/>
  <c r="W4" i="4" s="1"/>
  <c r="V3" i="4"/>
  <c r="W3" i="4" s="1"/>
  <c r="Q3" i="4"/>
  <c r="R3" i="4" s="1"/>
  <c r="O3" i="4"/>
  <c r="W2" i="4"/>
  <c r="R2" i="4"/>
  <c r="O2" i="4"/>
  <c r="Q2" i="4" s="1"/>
  <c r="V2" i="4" s="1"/>
  <c r="P17" i="3"/>
  <c r="P16" i="3"/>
  <c r="P15" i="3"/>
  <c r="L15" i="3"/>
  <c r="L14" i="3"/>
  <c r="P14" i="3" s="1"/>
  <c r="L12" i="3"/>
  <c r="P12" i="3" s="1"/>
  <c r="P11" i="3"/>
  <c r="L11" i="3"/>
  <c r="P9" i="3"/>
  <c r="P8" i="3"/>
  <c r="L8" i="3"/>
  <c r="P7" i="3"/>
  <c r="P5" i="3"/>
  <c r="P4" i="3"/>
  <c r="P3" i="3"/>
  <c r="P2" i="3"/>
  <c r="L2" i="3"/>
  <c r="V29" i="2"/>
  <c r="U29" i="2"/>
  <c r="Q29" i="2"/>
  <c r="U28" i="2"/>
  <c r="Q28" i="2"/>
  <c r="V28" i="2" s="1"/>
  <c r="N27" i="2"/>
  <c r="P27" i="2" s="1"/>
  <c r="Q26" i="2"/>
  <c r="V26" i="2" s="1"/>
  <c r="P26" i="2"/>
  <c r="U26" i="2" s="1"/>
  <c r="N26" i="2"/>
  <c r="V25" i="2"/>
  <c r="U25" i="2"/>
  <c r="N25" i="2"/>
  <c r="P25" i="2" s="1"/>
  <c r="Q25" i="2" s="1"/>
  <c r="L25" i="2"/>
  <c r="V24" i="2"/>
  <c r="U24" i="2"/>
  <c r="N24" i="2"/>
  <c r="P24" i="2" s="1"/>
  <c r="Q24" i="2" s="1"/>
  <c r="L24" i="2"/>
  <c r="L23" i="2"/>
  <c r="N23" i="2" s="1"/>
  <c r="P23" i="2" s="1"/>
  <c r="N22" i="2"/>
  <c r="P22" i="2" s="1"/>
  <c r="L22" i="2"/>
  <c r="L21" i="2"/>
  <c r="N21" i="2" s="1"/>
  <c r="P21" i="2" s="1"/>
  <c r="V20" i="2"/>
  <c r="U20" i="2"/>
  <c r="P20" i="2"/>
  <c r="Q20" i="2" s="1"/>
  <c r="N20" i="2"/>
  <c r="L20" i="2"/>
  <c r="V19" i="2"/>
  <c r="U19" i="2"/>
  <c r="N19" i="2"/>
  <c r="P19" i="2" s="1"/>
  <c r="Q19" i="2" s="1"/>
  <c r="L19" i="2"/>
  <c r="V18" i="2"/>
  <c r="U18" i="2"/>
  <c r="N18" i="2"/>
  <c r="P18" i="2" s="1"/>
  <c r="Q18" i="2" s="1"/>
  <c r="L18" i="2"/>
  <c r="L17" i="2"/>
  <c r="N17" i="2" s="1"/>
  <c r="P17" i="2" s="1"/>
  <c r="N16" i="2"/>
  <c r="P16" i="2" s="1"/>
  <c r="L16" i="2"/>
  <c r="L15" i="2"/>
  <c r="N15" i="2" s="1"/>
  <c r="P15" i="2" s="1"/>
  <c r="V14" i="2"/>
  <c r="U14" i="2"/>
  <c r="P14" i="2"/>
  <c r="Q14" i="2" s="1"/>
  <c r="N14" i="2"/>
  <c r="L14" i="2"/>
  <c r="V13" i="2"/>
  <c r="U13" i="2"/>
  <c r="N13" i="2"/>
  <c r="P13" i="2" s="1"/>
  <c r="Q13" i="2" s="1"/>
  <c r="L13" i="2"/>
  <c r="V12" i="2"/>
  <c r="U12" i="2"/>
  <c r="N12" i="2"/>
  <c r="P12" i="2" s="1"/>
  <c r="Q12" i="2" s="1"/>
  <c r="L12" i="2"/>
  <c r="L11" i="2"/>
  <c r="N11" i="2" s="1"/>
  <c r="P11" i="2" s="1"/>
  <c r="N10" i="2"/>
  <c r="P10" i="2" s="1"/>
  <c r="L10" i="2"/>
  <c r="L9" i="2"/>
  <c r="N9" i="2" s="1"/>
  <c r="P9" i="2" s="1"/>
  <c r="V8" i="2"/>
  <c r="U8" i="2"/>
  <c r="P8" i="2"/>
  <c r="Q8" i="2" s="1"/>
  <c r="N8" i="2"/>
  <c r="L8" i="2"/>
  <c r="V7" i="2"/>
  <c r="U7" i="2"/>
  <c r="N7" i="2"/>
  <c r="P7" i="2" s="1"/>
  <c r="Q7" i="2" s="1"/>
  <c r="L7" i="2"/>
  <c r="V6" i="2"/>
  <c r="U6" i="2"/>
  <c r="N6" i="2"/>
  <c r="P6" i="2" s="1"/>
  <c r="Q6" i="2" s="1"/>
  <c r="L6" i="2"/>
  <c r="L5" i="2"/>
  <c r="N5" i="2" s="1"/>
  <c r="P5" i="2" s="1"/>
  <c r="N4" i="2"/>
  <c r="P4" i="2" s="1"/>
  <c r="L4" i="2"/>
  <c r="L3" i="2"/>
  <c r="N3" i="2" s="1"/>
  <c r="P3" i="2" s="1"/>
  <c r="V2" i="2"/>
  <c r="U2" i="2"/>
  <c r="P2" i="2"/>
  <c r="Q2" i="2" s="1"/>
  <c r="N2" i="2"/>
  <c r="L2" i="2"/>
  <c r="N29" i="1"/>
  <c r="P29" i="1" s="1"/>
  <c r="U29" i="1" s="1"/>
  <c r="L29" i="1"/>
  <c r="P28" i="1"/>
  <c r="Q28" i="1" s="1"/>
  <c r="N28" i="1"/>
  <c r="L28" i="1"/>
  <c r="U27" i="1"/>
  <c r="N27" i="1"/>
  <c r="P27" i="1" s="1"/>
  <c r="Q27" i="1" s="1"/>
  <c r="V27" i="1" s="1"/>
  <c r="L27" i="1"/>
  <c r="P26" i="1"/>
  <c r="U26" i="1" s="1"/>
  <c r="N26" i="1"/>
  <c r="L26" i="1"/>
  <c r="N25" i="1"/>
  <c r="P25" i="1" s="1"/>
  <c r="U25" i="1" s="1"/>
  <c r="L25" i="1"/>
  <c r="V24" i="1"/>
  <c r="U24" i="1"/>
  <c r="N24" i="1"/>
  <c r="P24" i="1" s="1"/>
  <c r="Q24" i="1" s="1"/>
  <c r="L24" i="1"/>
  <c r="V23" i="1"/>
  <c r="U23" i="1"/>
  <c r="Q23" i="1"/>
  <c r="U22" i="1"/>
  <c r="Q22" i="1"/>
  <c r="V22" i="1" s="1"/>
  <c r="N21" i="1"/>
  <c r="P21" i="1" s="1"/>
  <c r="U20" i="1"/>
  <c r="Q20" i="1"/>
  <c r="V20" i="1" s="1"/>
  <c r="P20" i="1"/>
  <c r="N20" i="1"/>
  <c r="V19" i="1"/>
  <c r="U19" i="1"/>
  <c r="P19" i="1"/>
  <c r="U18" i="1"/>
  <c r="P18" i="1"/>
  <c r="Q18" i="1" s="1"/>
  <c r="V18" i="1" s="1"/>
  <c r="L18" i="1"/>
  <c r="N18" i="1" s="1"/>
  <c r="L17" i="1"/>
  <c r="N17" i="1" s="1"/>
  <c r="P17" i="1" s="1"/>
  <c r="L16" i="1"/>
  <c r="N16" i="1" s="1"/>
  <c r="P16" i="1" s="1"/>
  <c r="N15" i="1"/>
  <c r="P15" i="1" s="1"/>
  <c r="L15" i="1"/>
  <c r="P14" i="1"/>
  <c r="U14" i="1" s="1"/>
  <c r="L14" i="1"/>
  <c r="N14" i="1" s="1"/>
  <c r="L13" i="1"/>
  <c r="N13" i="1" s="1"/>
  <c r="P13" i="1" s="1"/>
  <c r="V12" i="1"/>
  <c r="U12" i="1"/>
  <c r="P12" i="1"/>
  <c r="V11" i="1"/>
  <c r="U11" i="1"/>
  <c r="N11" i="1"/>
  <c r="P11" i="1" s="1"/>
  <c r="Q11" i="1" s="1"/>
  <c r="L11" i="1"/>
  <c r="V10" i="1"/>
  <c r="P10" i="1"/>
  <c r="U10" i="1" s="1"/>
  <c r="N9" i="1"/>
  <c r="P9" i="1" s="1"/>
  <c r="L9" i="1"/>
  <c r="V8" i="1"/>
  <c r="U8" i="1"/>
  <c r="N8" i="1"/>
  <c r="P8" i="1" s="1"/>
  <c r="Q8" i="1" s="1"/>
  <c r="L8" i="1"/>
  <c r="N7" i="1"/>
  <c r="P7" i="1" s="1"/>
  <c r="L7" i="1"/>
  <c r="N6" i="1"/>
  <c r="P6" i="1" s="1"/>
  <c r="L6" i="1"/>
  <c r="N5" i="1"/>
  <c r="P5" i="1" s="1"/>
  <c r="L5" i="1"/>
  <c r="N4" i="1"/>
  <c r="P4" i="1" s="1"/>
  <c r="L4" i="1"/>
  <c r="V3" i="1"/>
  <c r="U3" i="1"/>
  <c r="P3" i="1"/>
  <c r="V2" i="1"/>
  <c r="U2" i="1"/>
  <c r="L2" i="1"/>
  <c r="N2" i="1" s="1"/>
  <c r="P2" i="1" s="1"/>
  <c r="Q2" i="1" s="1"/>
  <c r="U4" i="1" l="1"/>
  <c r="Q4" i="1"/>
  <c r="V4" i="1" s="1"/>
  <c r="Q9" i="1"/>
  <c r="V9" i="1" s="1"/>
  <c r="U9" i="1"/>
  <c r="U22" i="2"/>
  <c r="Q22" i="2"/>
  <c r="V22" i="2" s="1"/>
  <c r="U23" i="2"/>
  <c r="Q23" i="2"/>
  <c r="V23" i="2" s="1"/>
  <c r="Q7" i="1"/>
  <c r="V7" i="1" s="1"/>
  <c r="U7" i="1"/>
  <c r="Q15" i="1"/>
  <c r="V15" i="1" s="1"/>
  <c r="U15" i="1"/>
  <c r="U5" i="2"/>
  <c r="Q5" i="2"/>
  <c r="V5" i="2" s="1"/>
  <c r="U10" i="2"/>
  <c r="Q10" i="2"/>
  <c r="V10" i="2" s="1"/>
  <c r="U21" i="2"/>
  <c r="Q21" i="2"/>
  <c r="V21" i="2" s="1"/>
  <c r="U6" i="1"/>
  <c r="Q6" i="1"/>
  <c r="V6" i="1" s="1"/>
  <c r="Q17" i="1"/>
  <c r="V17" i="1" s="1"/>
  <c r="U17" i="1"/>
  <c r="Q9" i="2"/>
  <c r="V9" i="2" s="1"/>
  <c r="U9" i="2"/>
  <c r="U17" i="2"/>
  <c r="Q17" i="2"/>
  <c r="V17" i="2" s="1"/>
  <c r="U4" i="2"/>
  <c r="Q4" i="2"/>
  <c r="V4" i="2" s="1"/>
  <c r="U15" i="2"/>
  <c r="Q15" i="2"/>
  <c r="V15" i="2" s="1"/>
  <c r="U27" i="2"/>
  <c r="Q27" i="2"/>
  <c r="V27" i="2" s="1"/>
  <c r="U5" i="1"/>
  <c r="Q5" i="1"/>
  <c r="V5" i="1" s="1"/>
  <c r="Q13" i="1"/>
  <c r="V13" i="1" s="1"/>
  <c r="U13" i="1"/>
  <c r="U16" i="1"/>
  <c r="Q16" i="1"/>
  <c r="V16" i="1" s="1"/>
  <c r="U21" i="1"/>
  <c r="Q21" i="1"/>
  <c r="V21" i="1" s="1"/>
  <c r="U28" i="1"/>
  <c r="V28" i="1"/>
  <c r="U3" i="2"/>
  <c r="Q3" i="2"/>
  <c r="V3" i="2" s="1"/>
  <c r="U11" i="2"/>
  <c r="Q11" i="2"/>
  <c r="V11" i="2" s="1"/>
  <c r="U16" i="2"/>
  <c r="Q16" i="2"/>
  <c r="V16" i="2" s="1"/>
  <c r="V36" i="4"/>
  <c r="W36" i="4" s="1"/>
  <c r="R36" i="4"/>
  <c r="V49" i="4"/>
  <c r="W49" i="4" s="1"/>
  <c r="R49" i="4"/>
  <c r="Q14" i="1"/>
  <c r="V14" i="1" s="1"/>
  <c r="Q25" i="1"/>
  <c r="V25" i="1" s="1"/>
  <c r="Q29" i="1"/>
  <c r="V29" i="1" s="1"/>
  <c r="R4" i="4"/>
  <c r="V5" i="4"/>
  <c r="W5" i="4" s="1"/>
  <c r="V7" i="4"/>
  <c r="W7" i="4" s="1"/>
  <c r="V20" i="4"/>
  <c r="W20" i="4" s="1"/>
  <c r="R39" i="4"/>
  <c r="R11" i="4"/>
  <c r="V12" i="4"/>
  <c r="W12" i="4" s="1"/>
  <c r="R15" i="4"/>
  <c r="R23" i="4"/>
  <c r="V24" i="4"/>
  <c r="W24" i="4" s="1"/>
  <c r="R27" i="4"/>
  <c r="R35" i="4"/>
  <c r="V31" i="4"/>
  <c r="W31" i="4" s="1"/>
  <c r="R31" i="4"/>
  <c r="V45" i="4"/>
  <c r="W45" i="4" s="1"/>
  <c r="R45" i="4"/>
  <c r="Q26" i="1"/>
  <c r="V26" i="1" s="1"/>
  <c r="V40" i="4"/>
  <c r="W40" i="4" s="1"/>
  <c r="R40" i="4"/>
  <c r="V48" i="4"/>
  <c r="W48" i="4" s="1"/>
  <c r="R48" i="4"/>
</calcChain>
</file>

<file path=xl/sharedStrings.xml><?xml version="1.0" encoding="utf-8"?>
<sst xmlns="http://schemas.openxmlformats.org/spreadsheetml/2006/main" count="1675" uniqueCount="455">
  <si>
    <t>System Category</t>
  </si>
  <si>
    <t>System ID</t>
  </si>
  <si>
    <t>MMC Method</t>
  </si>
  <si>
    <t>System Name</t>
  </si>
  <si>
    <t>Source Header</t>
  </si>
  <si>
    <t>Layer No.</t>
  </si>
  <si>
    <t>Functional Role</t>
  </si>
  <si>
    <t>Generic Material</t>
  </si>
  <si>
    <t>Length (m)</t>
  </si>
  <si>
    <t>Height (m)</t>
  </si>
  <si>
    <t>Thickness (m)</t>
  </si>
  <si>
    <r>
      <rPr>
        <b/>
        <sz val="11"/>
        <color rgb="FF1F497D"/>
        <rFont val="Calibri"/>
      </rPr>
      <t>Element Volume (m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</si>
  <si>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t>Element Number</t>
  </si>
  <si>
    <r>
      <rPr>
        <b/>
        <sz val="11"/>
        <color rgb="FF1F497D"/>
        <rFont val="Calibri"/>
      </rPr>
      <t>Total Volume (m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</si>
  <si>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r>
      <rPr>
        <b/>
        <sz val="11"/>
        <color rgb="FF1F497D"/>
        <rFont val="Calibri"/>
      </rPr>
      <t>Density (kg.m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</si>
  <si>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t>Mass (kg per 5,76 m²)</t>
  </si>
  <si>
    <t>Mass (kg/m²)</t>
  </si>
  <si>
    <t>Carbon Factor</t>
  </si>
  <si>
    <t>Carbon Factor Unit</t>
  </si>
  <si>
    <t>Carbon Factor Source</t>
  </si>
  <si>
    <t>A1–A3 (kgCO₂e / 5.76 m²)</t>
  </si>
  <si>
    <t>A1–A3 (kgCO₂e/m²)</t>
  </si>
  <si>
    <t>Slab Compatibility</t>
  </si>
  <si>
    <t>Cladding Compatibility</t>
  </si>
  <si>
    <t>Cladding Compatibility Notes</t>
  </si>
  <si>
    <t>U Value</t>
  </si>
  <si>
    <t>Fire Rating</t>
  </si>
  <si>
    <t>Maximum Storeys</t>
  </si>
  <si>
    <t>Exterior Wall</t>
  </si>
  <si>
    <t>WALL_001</t>
  </si>
  <si>
    <t>LGS (Light Gauge Steel)</t>
  </si>
  <si>
    <t>2D LGS Exterior Wall Panel</t>
  </si>
  <si>
    <t>Wall Finish - Plasterboard</t>
  </si>
  <si>
    <t>Plasterboard 2 Layers 12.5mm</t>
  </si>
  <si>
    <t>per m2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</si>
  <si>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</si>
  <si>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LGS C Joist Compartment Floor; LGS Concrete Composite Floor</t>
  </si>
  <si>
    <t>Clay Brick Cladding; Concrete Brick Cladding; Brick Slip Rail, Cement Board with Render</t>
  </si>
  <si>
    <t>Cement Board with Render only compatible up to 3 storeys</t>
  </si>
  <si>
    <t>60 mins</t>
  </si>
  <si>
    <t>Air Tightness Membrane</t>
  </si>
  <si>
    <r>
      <rPr>
        <sz val="11"/>
        <color theme="1"/>
        <rFont val="Calibri"/>
      </rPr>
      <t xml:space="preserve">Partel Vara Plus EPD (Ireland): </t>
    </r>
    <r>
      <rPr>
        <u/>
        <sz val="11"/>
        <color rgb="FF1155CC"/>
        <rFont val="Calibri"/>
      </rPr>
      <t>https://www.partel.co.uk/wp-content/uploads/sites/3/2021/11/EPD-Partel-Vapour-Control-Membranes-18-07-2022-EPDIE-22-83.pdf</t>
    </r>
    <r>
      <rPr>
        <sz val="11"/>
        <color theme="1"/>
        <rFont val="Calibri"/>
      </rPr>
      <t xml:space="preserve"> </t>
    </r>
  </si>
  <si>
    <t>Structural framing – stud 600mm spacing</t>
  </si>
  <si>
    <t>Wall Stud 89mm x 45mm x 10 mm lip</t>
  </si>
  <si>
    <t>per kg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</si>
  <si>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</si>
  <si>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Structural framing – track (U-channel)</t>
  </si>
  <si>
    <t>Wall Track 90mm x 55mm, no lip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</si>
  <si>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</si>
  <si>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Blocking / nogging</t>
  </si>
  <si>
    <t>Noggin 89mm x 45mm x 10mm lip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</si>
  <si>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</si>
  <si>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Lateral bracing / cross-brace</t>
  </si>
  <si>
    <t>Diagonal Crossbrace 30mm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</si>
  <si>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</si>
  <si>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 xml:space="preserve">Batt thermal insulation </t>
  </si>
  <si>
    <t>Mineral Wool Batt Insulation 90mm</t>
  </si>
  <si>
    <r>
      <rPr>
        <sz val="11"/>
        <color theme="1"/>
        <rFont val="Calibri"/>
      </rPr>
      <t xml:space="preserve">Rockwool EPD (UK): </t>
    </r>
    <r>
      <rPr>
        <u/>
        <sz val="11"/>
        <color rgb="FF1155CC"/>
        <rFont val="Calibri"/>
      </rPr>
      <t>https://www.bauder.co.uk/getmedia/fba66c18-c541-4bb7-8304-831376ae6dc7/Environmental-Product-Declaration-Rockwool.pdf</t>
    </r>
    <r>
      <rPr>
        <sz val="11"/>
        <color theme="1"/>
        <rFont val="Calibri"/>
      </rPr>
      <t xml:space="preserve"> </t>
    </r>
  </si>
  <si>
    <t>Rigid board insulation (PIR)</t>
  </si>
  <si>
    <t>PIR Insulation 80mm</t>
  </si>
  <si>
    <r>
      <rPr>
        <sz val="11"/>
        <color theme="1"/>
        <rFont val="Calibri"/>
      </rPr>
      <t xml:space="preserve">ICE DB V.4 - PIR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</si>
  <si>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Breather / air-water barrier (membrane)</t>
  </si>
  <si>
    <t>External Weather Membrane</t>
  </si>
  <si>
    <r>
      <rPr>
        <sz val="11"/>
        <color theme="1"/>
        <rFont val="Calibri"/>
      </rPr>
      <t xml:space="preserve">Partel Exoperm Mono EPD (Ireland): </t>
    </r>
    <r>
      <rPr>
        <u/>
        <sz val="11"/>
        <color rgb="FF1155CC"/>
        <rFont val="Calibri"/>
      </rPr>
      <t>https://cdn.shopify.com/s/files/1/1785/2841/files/EPD-Partel-Breathable_Monolithic-18-07-2022-EPDIE-22-84.pdf?v=1664802202</t>
    </r>
    <r>
      <rPr>
        <sz val="11"/>
        <color theme="1"/>
        <rFont val="Calibri"/>
      </rPr>
      <t xml:space="preserve"> </t>
    </r>
  </si>
  <si>
    <t>WALL_002</t>
  </si>
  <si>
    <t>Timber</t>
  </si>
  <si>
    <t>2D Timber Panel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</si>
  <si>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</si>
  <si>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Timber Frame SJ90 I-Joist (39 x 90) 300; Timber Frame WebJoist SJ12 304</t>
  </si>
  <si>
    <t>Clay Brick Cladding; Concrete Brick Cladding; Cement Board Siding; Timber Rainscreen</t>
  </si>
  <si>
    <r>
      <rPr>
        <sz val="11"/>
        <color theme="1"/>
        <rFont val="Calibri"/>
      </rPr>
      <t xml:space="preserve">Partel Vara Plus EPD (Ireland): </t>
    </r>
    <r>
      <rPr>
        <u/>
        <sz val="11"/>
        <color rgb="FF1155CC"/>
        <rFont val="Calibri"/>
      </rPr>
      <t>https://www.partel.co.uk/wp-content/uploads/sites/3/2021/11/EPD-Partel-Vapour-Control-Membranes-18-07-2022-EPDIE-22-83.pdf</t>
    </r>
    <r>
      <rPr>
        <sz val="11"/>
        <color theme="1"/>
        <rFont val="Calibri"/>
      </rPr>
      <t xml:space="preserve"> </t>
    </r>
  </si>
  <si>
    <t>Clay Brick Cladding; Concrete Brick Cladding; Cement Board Siding; Wood Siding (horizontal); Wood Siding (vertical)</t>
  </si>
  <si>
    <t>Structural framing – stud</t>
  </si>
  <si>
    <t>140mm x 38mm Wall Stud</t>
  </si>
  <si>
    <r>
      <rPr>
        <sz val="11"/>
        <color theme="1"/>
        <rFont val="Calibri"/>
      </rPr>
      <t xml:space="preserve">ICE DB V.4 - Softwood (Global Avg. excl. Carbon Storage.):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</si>
  <si>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Structural framing – plates</t>
  </si>
  <si>
    <t>140mm x 38mm Top &amp; Bottom Plates</t>
  </si>
  <si>
    <r>
      <rPr>
        <sz val="11"/>
        <color theme="1"/>
        <rFont val="Calibri"/>
      </rPr>
      <t xml:space="preserve">ICE DB V.4 - Softwood (Global Avg. excl. Carbon Storage.):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</si>
  <si>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140mm x 38mm Noggin</t>
  </si>
  <si>
    <r>
      <rPr>
        <sz val="11"/>
        <color theme="1"/>
        <rFont val="Calibri"/>
      </rPr>
      <t xml:space="preserve">ICE DB V.4 - Softwood (Global Avg. excl. Carbon Storage.):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</si>
  <si>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Structural sheathing / racking</t>
  </si>
  <si>
    <t>9mm OSB Sheathing</t>
  </si>
  <si>
    <r>
      <rPr>
        <sz val="11"/>
        <color theme="1"/>
        <rFont val="Calibri"/>
      </rPr>
      <t xml:space="preserve">ICE DB V.4 - OSB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</si>
  <si>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Cavity insulation (thermal/acoustic)</t>
  </si>
  <si>
    <t>140mm Mineral Wool Batt Insulation</t>
  </si>
  <si>
    <r>
      <rPr>
        <sz val="11"/>
        <color theme="1"/>
        <rFont val="Calibri"/>
      </rPr>
      <t xml:space="preserve">Rockwool EPD (UK): </t>
    </r>
    <r>
      <rPr>
        <u/>
        <sz val="11"/>
        <color rgb="FF1155CC"/>
        <rFont val="Calibri"/>
      </rPr>
      <t>https://www.bauder.co.uk/getmedia/fba66c18-c541-4bb7-8304-831376ae6dc7/Environmental-Product-Declaration-Rockwool.pdf</t>
    </r>
    <r>
      <rPr>
        <sz val="11"/>
        <color theme="1"/>
        <rFont val="Calibri"/>
      </rPr>
      <t xml:space="preserve"> </t>
    </r>
  </si>
  <si>
    <t>30mm PIR Insulation</t>
  </si>
  <si>
    <r>
      <rPr>
        <sz val="11"/>
        <color theme="1"/>
        <rFont val="Calibri"/>
      </rPr>
      <t xml:space="preserve">ICE DB V.4 - PIR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</si>
  <si>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Partel Exoperm Mono EPD (Ireland): </t>
    </r>
    <r>
      <rPr>
        <u/>
        <sz val="11"/>
        <color rgb="FF1155CC"/>
        <rFont val="Calibri"/>
      </rPr>
      <t>https://cdn.shopify.com/s/files/1/1785/2841/files/EPD-Partel-Breathable_Monolithic-18-07-2022-EPDIE-22-84.pdf?v=1664802202</t>
    </r>
    <r>
      <rPr>
        <sz val="11"/>
        <color theme="1"/>
        <rFont val="Calibri"/>
      </rPr>
      <t xml:space="preserve">   </t>
    </r>
  </si>
  <si>
    <t>WALL_003</t>
  </si>
  <si>
    <t>ICF (Insulating Concrete Formwork)</t>
  </si>
  <si>
    <t>300 mm ICF</t>
  </si>
  <si>
    <t>Permanent formwork / insulation (ICF skin)</t>
  </si>
  <si>
    <t>EPS (Outer Leaf 75 mm, Inner leaf 100mm)</t>
  </si>
  <si>
    <r>
      <rPr>
        <sz val="11"/>
        <color theme="1"/>
        <rFont val="Calibri"/>
      </rPr>
      <t xml:space="preserve">ICE DB V.4 - EPS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</si>
  <si>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ICF In-Situ Concrete Floor; Concrete Hollowcore Floor; LGS Concrete Composite Floor</t>
  </si>
  <si>
    <t>Clay Brick Cladding; Concrete Brick Cladding; External Render</t>
  </si>
  <si>
    <t>External Render is most common cladding system</t>
  </si>
  <si>
    <t>Structural core (cast-in-place concrete)</t>
  </si>
  <si>
    <t>150mm Concrete core</t>
  </si>
  <si>
    <r>
      <rPr>
        <sz val="11"/>
        <color theme="1"/>
        <rFont val="Calibri"/>
      </rPr>
      <t xml:space="preserve">ICE DB V.4 - Concrete In Situ 25/30 mpa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</si>
  <si>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Reinforcement (rebar)</t>
  </si>
  <si>
    <t>Steel rebar</t>
  </si>
  <si>
    <r>
      <rPr>
        <sz val="11"/>
        <color theme="1"/>
        <rFont val="Calibri"/>
      </rPr>
      <t xml:space="preserve">ICE DB V.4 - Rebar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</si>
  <si>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ICF form ties / webs</t>
  </si>
  <si>
    <t>Polypropylene webs</t>
  </si>
  <si>
    <t>WALL_004</t>
  </si>
  <si>
    <t>Concrete Block</t>
  </si>
  <si>
    <t>Standard Masonry</t>
  </si>
  <si>
    <t>Finished Wall Surface</t>
  </si>
  <si>
    <t>12.5mm Plasterboard x 2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</si>
  <si>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</si>
  <si>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Concrete Hollowcore Floor; LGS C Joist Compartment Floor; LGS Concrete Composite Floor; Timber Frame SJ90 I-Joist (39 x 90) 300; Timber Frame WebJoist SJ12 304</t>
  </si>
  <si>
    <t xml:space="preserve">Service Cavity Batten </t>
  </si>
  <si>
    <t>25 x 50mm Timber Batten 600mm spacing</t>
  </si>
  <si>
    <r>
      <rPr>
        <sz val="11"/>
        <color theme="1"/>
        <rFont val="Calibri"/>
      </rPr>
      <t xml:space="preserve">ICE DB V.4 - Softwood (Global Avg. excl. Carbon Storage.):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</si>
  <si>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 xml:space="preserve">Air Tightness </t>
  </si>
  <si>
    <t>Gypsum skim coat</t>
  </si>
  <si>
    <r>
      <rPr>
        <sz val="11"/>
        <color theme="1"/>
        <rFont val="Calibri"/>
      </rPr>
      <t xml:space="preserve">ICE DB V.4 - Gypsum Plaster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</si>
  <si>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Inner leaf load bearing masonry unit</t>
  </si>
  <si>
    <t>140mm AAC Block</t>
  </si>
  <si>
    <r>
      <rPr>
        <sz val="12"/>
        <rFont val="Calibri"/>
      </rPr>
      <t xml:space="preserve">Mannock EPD (Ireland): </t>
    </r>
    <r>
      <rPr>
        <u/>
        <sz val="12"/>
        <color rgb="FF1155CC"/>
        <rFont val="Calibri"/>
      </rPr>
      <t>https://www.igbc.ie/wp-content/uploads/2024/09/EPD-Mannok-Aircrete-block-05-09-24-EPDIE-24-147.pdf</t>
    </r>
    <r>
      <rPr>
        <sz val="12"/>
        <rFont val="Calibri"/>
      </rPr>
      <t xml:space="preserve">  </t>
    </r>
  </si>
  <si>
    <t>Masonry Unit Mortar</t>
  </si>
  <si>
    <t>Mortar (1:4 cement to sand)</t>
  </si>
  <si>
    <r>
      <rPr>
        <sz val="11"/>
        <rFont val="Arial"/>
      </rPr>
      <t xml:space="preserve">Kilsaran Bulk Mortar EPD (Ireland): </t>
    </r>
    <r>
      <rPr>
        <u/>
        <sz val="11"/>
        <color rgb="FF1155CC"/>
        <rFont val="Arial"/>
      </rPr>
      <t>https://www.igbc.ie/wp-content/uploads/2020/03/EPD-Kilsaran-M4-Masonry-Mortar-27.03.2020-EPDIE-20-19.pdf</t>
    </r>
    <r>
      <rPr>
        <sz val="11"/>
        <rFont val="Arial"/>
      </rPr>
      <t xml:space="preserve"> </t>
    </r>
  </si>
  <si>
    <t>Cavity Insulation</t>
  </si>
  <si>
    <t>100mm PIR Insulation</t>
  </si>
  <si>
    <r>
      <rPr>
        <sz val="11"/>
        <color theme="1"/>
        <rFont val="Calibri"/>
      </rPr>
      <t xml:space="preserve">ICE DB V.4 - PIR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</si>
  <si>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r>
      <rPr>
        <b/>
        <sz val="11"/>
        <color rgb="FF1F497D"/>
        <rFont val="Calibri"/>
      </rPr>
      <t>Element Volume (m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</si>
  <si>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r>
      <rPr>
        <b/>
        <sz val="11"/>
        <color rgb="FF1F497D"/>
        <rFont val="Calibri"/>
      </rPr>
      <t>Total Volume (m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</si>
  <si>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r>
      <rPr>
        <b/>
        <sz val="11"/>
        <color rgb="FF1F497D"/>
        <rFont val="Calibri"/>
      </rPr>
      <t>Density (kg.m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</si>
  <si>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t>Interior Wall</t>
  </si>
  <si>
    <t>INT_WALL_001</t>
  </si>
  <si>
    <t>2D LGS Interior Wall Panel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</si>
  <si>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</si>
  <si>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LGS C Joist Compartment Floor; LGS Concrete Composite Floor; Concrete Hollowcore Slab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</si>
  <si>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</si>
  <si>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INT_WALL_002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</si>
  <si>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</si>
  <si>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INT_WALL_003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</si>
  <si>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</si>
  <si>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Acoustic Insulation</t>
  </si>
  <si>
    <r>
      <rPr>
        <sz val="11"/>
        <color theme="1"/>
        <rFont val="Calibri"/>
      </rPr>
      <t xml:space="preserve">Rockwool EPD (UK): </t>
    </r>
    <r>
      <rPr>
        <u/>
        <sz val="11"/>
        <color rgb="FF1155CC"/>
        <rFont val="Calibri"/>
      </rPr>
      <t>https://www.bauder.co.uk/getmedia/fba66c18-c541-4bb7-8304-831376ae6dc7/Environmental-Product-Declaration-Rockwool.pdf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</si>
  <si>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</si>
  <si>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2D LGS Interior Separating Wall Panel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</si>
  <si>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</si>
  <si>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</si>
  <si>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</si>
  <si>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</si>
  <si>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Rockwool EPD (UK): </t>
    </r>
    <r>
      <rPr>
        <u/>
        <sz val="11"/>
        <color rgb="FF1155CC"/>
        <rFont val="Calibri"/>
      </rPr>
      <t>https://www.bauder.co.uk/getmedia/fba66c18-c541-4bb7-8304-831376ae6dc7/Environmental-Product-Declaration-Rockwool.pdf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</si>
  <si>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</si>
  <si>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2D Timber Interior Wall Panel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</si>
  <si>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</si>
  <si>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Structural framing – stud 400mm spacing</t>
  </si>
  <si>
    <t>.89mm x 38mm Wall Stud</t>
  </si>
  <si>
    <t>ICE DB V.4 - Softwood (Global Avg. excl. Carbon Storage.): https://circularecology.com/embodied-carbon-footprint-database.html</t>
  </si>
  <si>
    <t>89mm x 38mm Top &amp; Bottom Plates</t>
  </si>
  <si>
    <t>89mm x 38mm Noggin</t>
  </si>
  <si>
    <r>
      <rPr>
        <sz val="11"/>
        <color theme="1"/>
        <rFont val="Calibri"/>
      </rPr>
      <t xml:space="preserve">Rockwool EPD (UK): </t>
    </r>
    <r>
      <rPr>
        <u/>
        <sz val="11"/>
        <color rgb="FF1155CC"/>
        <rFont val="Calibri"/>
      </rPr>
      <t>https://www.bauder.co.uk/getmedia/fba66c18-c541-4bb7-8304-831376ae6dc7/Environmental-Product-Declaration-Rockwool.pdf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</si>
  <si>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</si>
  <si>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INT_WALL_004</t>
  </si>
  <si>
    <t>2D Timber Interior Separating Wall Panel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</si>
  <si>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</si>
  <si>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Rockwool EPD (UK): </t>
    </r>
    <r>
      <rPr>
        <u/>
        <sz val="11"/>
        <color rgb="FF1155CC"/>
        <rFont val="Calibri"/>
      </rPr>
      <t>https://www.bauder.co.uk/getmedia/fba66c18-c541-4bb7-8304-831376ae6dc7/Environmental-Product-Declaration-Rockwool.pdf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</si>
  <si>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</si>
  <si>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INT_WALL_005</t>
  </si>
  <si>
    <t>300mm ICF Interior Wall</t>
  </si>
  <si>
    <t>50mm EPS Concrete Form</t>
  </si>
  <si>
    <r>
      <rPr>
        <sz val="11"/>
        <color theme="1"/>
        <rFont val="Calibri"/>
      </rPr>
      <t xml:space="preserve">ICE DB V.4 - EPS (Global Avg.): </t>
    </r>
    <r>
      <rPr>
        <u/>
        <sz val="11"/>
        <color rgb="FF1155CC"/>
        <rFont val="Calibri"/>
      </rPr>
      <t>https://circularecology.com/embodied-carbon-footprint-database.html</t>
    </r>
  </si>
  <si>
    <t>Concrete Hollowcore Floor; LGS Concrete Composite Floor</t>
  </si>
  <si>
    <t>ICF Interior Wall</t>
  </si>
  <si>
    <r>
      <rPr>
        <sz val="11"/>
        <color theme="1"/>
        <rFont val="Calibri"/>
      </rPr>
      <t xml:space="preserve">ICE DB V.4 - Concrete In Situ 25/30 mpa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</si>
  <si>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ICE DB V.4 - Rebar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</si>
  <si>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r>
      <rPr>
        <b/>
        <sz val="11"/>
        <color rgb="FF1F497D"/>
        <rFont val="Calibri"/>
      </rPr>
      <t>Total Volume (m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</si>
  <si>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r>
      <rPr>
        <b/>
        <sz val="11"/>
        <color rgb="FF1F497D"/>
        <rFont val="Calibri"/>
      </rPr>
      <t>Density (kg.m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</si>
  <si>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t>Total GWP (kgCO₂e)</t>
  </si>
  <si>
    <t>Life Expectancy (years)</t>
  </si>
  <si>
    <t>Cladding</t>
  </si>
  <si>
    <t>CLAD_001</t>
  </si>
  <si>
    <t>Clay Brick Cladding</t>
  </si>
  <si>
    <t>A1-A3 Cladding</t>
  </si>
  <si>
    <t>Outer leaf – brick veneer</t>
  </si>
  <si>
    <t>Clay brick</t>
  </si>
  <si>
    <r>
      <rPr>
        <sz val="11"/>
        <color theme="1"/>
        <rFont val="Calibri"/>
      </rPr>
      <t xml:space="preserve">Kingscourt EPD (Ireland): </t>
    </r>
    <r>
      <rPr>
        <u/>
        <sz val="11"/>
        <color rgb="FF1155CC"/>
        <rFont val="Calibri"/>
      </rPr>
      <t>https://www.igbc.ie/wp-content/uploads/2021/07/EPD-Kingscourt-Brick-12-07-2021-EPDIE-21-51.pdf</t>
    </r>
    <r>
      <rPr>
        <sz val="11"/>
        <color theme="1"/>
        <rFont val="Calibri"/>
      </rPr>
      <t xml:space="preserve">  </t>
    </r>
  </si>
  <si>
    <t>Masonry bonding mortar (bed &amp; perp joints)</t>
  </si>
  <si>
    <r>
      <rPr>
        <sz val="11"/>
        <color theme="1"/>
        <rFont val="Calibri"/>
      </rPr>
      <t xml:space="preserve">Kilsaran Bulk Mortar EPD: </t>
    </r>
    <r>
      <rPr>
        <u/>
        <sz val="11"/>
        <color rgb="FF1155CC"/>
        <rFont val="Calibri"/>
      </rPr>
      <t>https://www.igbc.ie/wp-content/uploads/2020/03/EPD-Kilsaran-M4-Masonry-Mortar-27.03.2020-EPDIE-20-19.pdf</t>
    </r>
    <r>
      <rPr>
        <sz val="11"/>
        <color theme="1"/>
        <rFont val="Calibri"/>
      </rPr>
      <t xml:space="preserve"> </t>
    </r>
  </si>
  <si>
    <t>Cavity tray (stainless)</t>
  </si>
  <si>
    <t>Stainless Steel Cavity Track x2</t>
  </si>
  <si>
    <t>1.2 thick x 54 wide x 1000 long</t>
  </si>
  <si>
    <r>
      <rPr>
        <sz val="11"/>
        <color theme="1"/>
        <rFont val="Calibri"/>
      </rPr>
      <t xml:space="preserve">ICE DB V.4 Stainless Steel (Global Avg.): </t>
    </r>
    <r>
      <rPr>
        <u/>
        <sz val="11"/>
        <color rgb="FF1155CC"/>
        <rFont val="Calibri"/>
      </rPr>
      <t>https://circularecology.com/embodied-carbon-footprint-database.html</t>
    </r>
  </si>
  <si>
    <t>Wall ties (outer-to-inner leaf)</t>
  </si>
  <si>
    <t>Cavity Ties</t>
  </si>
  <si>
    <r>
      <rPr>
        <sz val="11"/>
        <color theme="1"/>
        <rFont val="Calibri"/>
      </rPr>
      <t xml:space="preserve">ICE DB V.4 Stainless Steel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</si>
  <si>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CLAD_002</t>
  </si>
  <si>
    <t>Concrete Brick Cladding</t>
  </si>
  <si>
    <t>Outer leaf – concrete brick veneer</t>
  </si>
  <si>
    <t>Concrete Brick</t>
  </si>
  <si>
    <r>
      <rPr>
        <sz val="11"/>
        <rFont val="Arial"/>
      </rPr>
      <t xml:space="preserve">Roadstone EPD (Ireland): </t>
    </r>
    <r>
      <rPr>
        <u/>
        <sz val="11"/>
        <color rgb="FF1155CC"/>
        <rFont val="Arial"/>
      </rPr>
      <t>https://api.environdec.com/api/v1/EPDLibrary/Files/28ca6018-c6e4-4d26-a6f3-08da599e304a/Data</t>
    </r>
    <r>
      <rPr>
        <sz val="11"/>
        <rFont val="Arial"/>
      </rPr>
      <t xml:space="preserve"> </t>
    </r>
  </si>
  <si>
    <t>50+</t>
  </si>
  <si>
    <r>
      <rPr>
        <sz val="11"/>
        <rFont val="Arial"/>
      </rPr>
      <t xml:space="preserve">Kilsaran Bulk Mortar EPD (Ireland): </t>
    </r>
    <r>
      <rPr>
        <u/>
        <sz val="11"/>
        <color rgb="FF1155CC"/>
        <rFont val="Arial"/>
      </rPr>
      <t>https://www.igbc.ie/wp-content/uploads/2020/03/EPD-Kilsaran-M4-Masonry-Mortar-27.03.2020-EPDIE-20-19.pdf</t>
    </r>
    <r>
      <rPr>
        <sz val="11"/>
        <rFont val="Arial"/>
      </rPr>
      <t xml:space="preserve"> </t>
    </r>
  </si>
  <si>
    <t>Cavity tray / DPC (stainless)</t>
  </si>
  <si>
    <r>
      <rPr>
        <sz val="11"/>
        <rFont val="Arial"/>
      </rPr>
      <t xml:space="preserve">Ancon EPD (UK): </t>
    </r>
    <r>
      <rPr>
        <u/>
        <sz val="11"/>
        <color rgb="FF1155CC"/>
        <rFont val="Arial"/>
      </rPr>
      <t>https://www.ancon.co.uk/downloads/7548/Leviat%20EPD%20Ancon%20Windposts%20Rev02.pdf</t>
    </r>
    <r>
      <rPr>
        <sz val="11"/>
        <rFont val="Arial"/>
      </rPr>
      <t xml:space="preserve"> </t>
    </r>
  </si>
  <si>
    <r>
      <rPr>
        <sz val="11"/>
        <color theme="1"/>
        <rFont val="Calibri"/>
      </rPr>
      <t xml:space="preserve">ICE DB V.4 Stainless Steel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</si>
  <si>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Cement Board with Render</t>
  </si>
  <si>
    <t>Cladding panel – cement board</t>
  </si>
  <si>
    <t>Cement Board</t>
  </si>
  <si>
    <r>
      <rPr>
        <u/>
        <sz val="11"/>
        <color rgb="FF000000"/>
        <rFont val="Arial"/>
      </rPr>
      <t xml:space="preserve"> Knauf Aquapanel EPD (Germany): </t>
    </r>
    <r>
      <rPr>
        <u/>
        <sz val="11"/>
        <color rgb="FF1155CC"/>
        <rFont val="Arial"/>
      </rPr>
      <t>https://knauf.com/api/download-center/v1/assets/9b2136fe-af8a-4f09-a5f0-54dfcb8fc7f0?download=true&amp;country=gb</t>
    </r>
    <r>
      <rPr>
        <u/>
        <sz val="11"/>
        <color rgb="FF000000"/>
        <rFont val="Arial"/>
      </rPr>
      <t xml:space="preserve"> </t>
    </r>
  </si>
  <si>
    <t>15-25</t>
  </si>
  <si>
    <t>Battens / subframe</t>
  </si>
  <si>
    <t>Treated Softwood Batten 25mm x 50mm</t>
  </si>
  <si>
    <t>per m3</t>
  </si>
  <si>
    <r>
      <rPr>
        <sz val="11"/>
        <color rgb="FF000000"/>
        <rFont val="Arial"/>
      </rPr>
      <t xml:space="preserve">Derome Treated Timber EPD (Norway): </t>
    </r>
    <r>
      <rPr>
        <u/>
        <sz val="11"/>
        <color rgb="FF1155CC"/>
        <rFont val="Arial"/>
      </rPr>
      <t>https://www.epd-norge.no/getfile.php/13191348-1741690594/EPDer/Byggevarer/Heltreprodukter/NEPD-6421-5682_Treated-timber--NTR-A--100--pine.pdf</t>
    </r>
    <r>
      <rPr>
        <sz val="11"/>
        <color rgb="FF000000"/>
        <rFont val="Arial"/>
      </rPr>
      <t xml:space="preserve"> </t>
    </r>
  </si>
  <si>
    <t>Render / basecoat</t>
  </si>
  <si>
    <t>Mortar (1:4)</t>
  </si>
  <si>
    <r>
      <rPr>
        <sz val="11"/>
        <rFont val="Arial"/>
      </rPr>
      <t xml:space="preserve">Kilsaran Bulk Mortar EPD (Ireland): </t>
    </r>
    <r>
      <rPr>
        <u/>
        <sz val="11"/>
        <color rgb="FF1155CC"/>
        <rFont val="Arial"/>
      </rPr>
      <t>https://www.igbc.ie/wp-content/uploads/2020/03/EPD-Kilsaran-M4-Masonry-Mortar-27.03.2020-EPDIE-20-19.pdf</t>
    </r>
    <r>
      <rPr>
        <sz val="11"/>
        <rFont val="Arial"/>
      </rPr>
      <t xml:space="preserve">  </t>
    </r>
  </si>
  <si>
    <t>Render reinforcement mesh</t>
  </si>
  <si>
    <t>Fiberglass Reinforcing Mesh</t>
  </si>
  <si>
    <r>
      <rPr>
        <sz val="11"/>
        <color rgb="FF000000"/>
        <rFont val="Arial"/>
      </rPr>
      <t xml:space="preserve">Vertex Fiberglass Reinforcing Mesh EPD (France): </t>
    </r>
    <r>
      <rPr>
        <u/>
        <sz val="11"/>
        <color rgb="FF1155CC"/>
        <rFont val="Arial"/>
      </rPr>
      <t>https://api.environdec.com/api/v1/EPDLibrary/Files/fec4ad6c-39cb-4cd7-9845-08db7e35bd3c/Data</t>
    </r>
    <r>
      <rPr>
        <sz val="11"/>
        <color rgb="FF000000"/>
        <rFont val="Arial"/>
      </rPr>
      <t xml:space="preserve"> </t>
    </r>
  </si>
  <si>
    <t>Timber Rainscreen</t>
  </si>
  <si>
    <t>Wood Siding (horizontal)</t>
  </si>
  <si>
    <t>Cladding boards – timber</t>
  </si>
  <si>
    <t>Timber Siding Boards</t>
  </si>
  <si>
    <t>kg</t>
  </si>
  <si>
    <r>
      <rPr>
        <sz val="11"/>
        <color theme="1"/>
        <rFont val="Calibri"/>
      </rPr>
      <t xml:space="preserve">ICE DB V.4 - Softwood (Global Avg. excl. Carbon Storage.):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</si>
  <si>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Treated Softwood Batten x 2</t>
  </si>
  <si>
    <t>25 x 50</t>
  </si>
  <si>
    <t>m3</t>
  </si>
  <si>
    <r>
      <rPr>
        <sz val="11"/>
        <color rgb="FF000000"/>
        <rFont val="Calibri"/>
      </rPr>
      <t xml:space="preserve">Derome Treated Softwood Timber EPD (Norway): </t>
    </r>
    <r>
      <rPr>
        <u/>
        <sz val="11"/>
        <color rgb="FF1155CC"/>
        <rFont val="Calibri"/>
      </rPr>
      <t>https://www.epd-norge.no/getfile.php/13191348-1741690594/EPDer/Byggevarer/Heltreprodukter/NEPD-6421-5682_Treated-timber--NTR-A--100--pine.pdf</t>
    </r>
    <r>
      <rPr>
        <sz val="11"/>
        <color rgb="FF000000"/>
        <rFont val="Calibri"/>
      </rPr>
      <t xml:space="preserve"> </t>
    </r>
  </si>
  <si>
    <t>Finish – protective/decorative coating</t>
  </si>
  <si>
    <t>Paint/Stain</t>
  </si>
  <si>
    <r>
      <rPr>
        <sz val="11"/>
        <color theme="1"/>
        <rFont val="Calibri"/>
      </rPr>
      <t xml:space="preserve">Castle Paints EPD (Ireland): </t>
    </r>
    <r>
      <rPr>
        <u/>
        <sz val="11"/>
        <color rgb="FF1155CC"/>
        <rFont val="Calibri"/>
      </rPr>
      <t>https://www.igbc.ie/wp-content/uploads/2023/09/EPD-Castle-Paints-CP-Wood-18-09-23-EPDIE-23-117.pdf</t>
    </r>
    <r>
      <rPr>
        <sz val="11"/>
        <color theme="1"/>
        <rFont val="Calibri"/>
      </rPr>
      <t xml:space="preserve"> </t>
    </r>
  </si>
  <si>
    <t>Brick Slip Rail</t>
  </si>
  <si>
    <t>Cladding system – brick slips on rails</t>
  </si>
  <si>
    <t>Brick Slips on Aluminum Rails</t>
  </si>
  <si>
    <r>
      <rPr>
        <sz val="11"/>
        <color theme="1"/>
        <rFont val="Calibri"/>
      </rPr>
      <t xml:space="preserve">Brix Brick Cladding System EPD (Finland): </t>
    </r>
    <r>
      <rPr>
        <u/>
        <sz val="11"/>
        <color rgb="FF1155CC"/>
        <rFont val="Calibri"/>
      </rPr>
      <t>https://www.kiwa.com/globalassets/germany/veroffentlichte-epds/2024/010824/epd-kiwa-ee-173047-en.pdf/</t>
    </r>
    <r>
      <rPr>
        <sz val="11"/>
        <color theme="1"/>
        <rFont val="Calibri"/>
      </rPr>
      <t xml:space="preserve"> </t>
    </r>
  </si>
  <si>
    <t>Number of Webs</t>
  </si>
  <si>
    <t>Single Web Mass</t>
  </si>
  <si>
    <t>Width (m)</t>
  </si>
  <si>
    <r>
      <rPr>
        <b/>
        <sz val="11"/>
        <color rgb="FF1F497D"/>
        <rFont val="Calibri"/>
      </rPr>
      <t>Total Volume (m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</si>
  <si>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r>
      <rPr>
        <b/>
        <sz val="11"/>
        <color rgb="FF1F497D"/>
        <rFont val="Calibri"/>
      </rPr>
      <t>Density (kg.m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</si>
  <si>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t>Mass (kg  per 5.76 m²)</t>
  </si>
  <si>
    <t>Mass (kg/ m²)</t>
  </si>
  <si>
    <t>Carbon Factor (kg)</t>
  </si>
  <si>
    <t>A1–A3 (kgCO₂e  per 5.76 m²)</t>
  </si>
  <si>
    <t>Wall Compatibility</t>
  </si>
  <si>
    <t>Slab</t>
  </si>
  <si>
    <t>SLAB_001</t>
  </si>
  <si>
    <t>Timber Frame SJ90 I-Joist (39 x 90) 300</t>
  </si>
  <si>
    <t>A1-A3 Slabs</t>
  </si>
  <si>
    <t>Deck sheathing (OSB)</t>
  </si>
  <si>
    <t>18mm OSB Decking</t>
  </si>
  <si>
    <r>
      <rPr>
        <sz val="11"/>
        <color theme="1"/>
        <rFont val="Calibri"/>
      </rPr>
      <t xml:space="preserve">ICE DB V.4 - OSB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</si>
  <si>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Timber, ICF, Traditional Masonry</t>
  </si>
  <si>
    <t>Insulation (thermal/acoustic)</t>
  </si>
  <si>
    <t>Mineral wool batt insulation</t>
  </si>
  <si>
    <r>
      <rPr>
        <sz val="11"/>
        <rFont val="Arial"/>
      </rPr>
      <t xml:space="preserve">Rockwool EPD (UK): </t>
    </r>
    <r>
      <rPr>
        <u/>
        <sz val="11"/>
        <color rgb="FF1155CC"/>
        <rFont val="Arial"/>
      </rPr>
      <t>https://www.bauder.co.uk/getmedia/fba66c18-c541-4bb7-8304-831376ae6dc7/Environmental-Product-Declaration-Rockwool.pdf</t>
    </r>
    <r>
      <rPr>
        <sz val="11"/>
        <rFont val="Arial"/>
      </rPr>
      <t xml:space="preserve">   </t>
    </r>
  </si>
  <si>
    <t>Joist stiffener (LVL)</t>
  </si>
  <si>
    <t>Laminated Veneer Lumber (400mm spacing)</t>
  </si>
  <si>
    <r>
      <rPr>
        <sz val="11"/>
        <color theme="1"/>
        <rFont val="Calibri"/>
      </rPr>
      <t xml:space="preserve">ICE DB V.4 - Laminated Veneer Lumber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</si>
  <si>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Joist web (OSB)</t>
  </si>
  <si>
    <t>OSB sheet (Joist central element)</t>
  </si>
  <si>
    <r>
      <rPr>
        <sz val="11"/>
        <color theme="1"/>
        <rFont val="Calibri"/>
      </rPr>
      <t xml:space="preserve">ICE DB V.4 - OSB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</si>
  <si>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Timber Frame SJ90 I-Joist (39 x 90) 301</t>
  </si>
  <si>
    <t>Ceiling Support / Acoustic Dampening</t>
  </si>
  <si>
    <t>Resilient Acoustic Batten</t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</si>
  <si>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</si>
  <si>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t>Timber Frame SJ90 I-Joist (39 x 90) 302</t>
  </si>
  <si>
    <t>Resilient Acoustic Counter Batten</t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</si>
  <si>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</si>
  <si>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t>Timber Frame SJ90 I-Joist (39 x 90) 303</t>
  </si>
  <si>
    <t>Fire Stop</t>
  </si>
  <si>
    <t>12.5mm plasterboard x 2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</si>
  <si>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</si>
  <si>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Timber Frame SJ90 I-Joist (39 x 90) 304</t>
  </si>
  <si>
    <t>Batten for services cavity</t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</si>
  <si>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</si>
  <si>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t>Timber Frame SJ90 I-Joist (39 x 90) 305</t>
  </si>
  <si>
    <t>Ceiling Finish</t>
  </si>
  <si>
    <t>12.5mm gypsum plasterboard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</si>
  <si>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</si>
  <si>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SLAB_002</t>
  </si>
  <si>
    <t>Timber Frame WebJoist SJ12 304</t>
  </si>
  <si>
    <r>
      <rPr>
        <sz val="11"/>
        <color theme="1"/>
        <rFont val="Calibri"/>
      </rPr>
      <t xml:space="preserve">ICE DB V.4 - OSB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</si>
  <si>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Batt insulation (thermal/acoustic)</t>
  </si>
  <si>
    <r>
      <rPr>
        <sz val="11"/>
        <rFont val="Arial"/>
      </rPr>
      <t xml:space="preserve">Rockwool EPD (UK): </t>
    </r>
    <r>
      <rPr>
        <u/>
        <sz val="11"/>
        <color rgb="FF1155CC"/>
        <rFont val="Arial"/>
      </rPr>
      <t>https://www.bauder.co.uk/getmedia/fba66c18-c541-4bb7-8304-831376ae6dc7/Environmental-Product-Declaration-Rockwool.pdf</t>
    </r>
    <r>
      <rPr>
        <sz val="11"/>
        <rFont val="Arial"/>
      </rPr>
      <t xml:space="preserve">   </t>
    </r>
  </si>
  <si>
    <t>Joist chord (TR26 timber; top &amp; bottom chords @ 400 c/c)</t>
  </si>
  <si>
    <t>TR 26 Timber (47 x 97 - 400 spacing)</t>
  </si>
  <si>
    <r>
      <rPr>
        <sz val="11"/>
        <color theme="1"/>
        <rFont val="Calibri"/>
      </rPr>
      <t xml:space="preserve">ICE DB V.4 - Timber Softwood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</si>
  <si>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Rim board / Edge joist (perimeter member)</t>
  </si>
  <si>
    <t>End timber element (47 x 97)</t>
  </si>
  <si>
    <r>
      <rPr>
        <sz val="11"/>
        <color theme="1"/>
        <rFont val="Calibri"/>
      </rPr>
      <t xml:space="preserve">ICE DB V.4 - Timber Softwood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</si>
  <si>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Blocking / Bearing stiffeners (vertical blocks at supports &amp; openings)</t>
  </si>
  <si>
    <t>Vertical timber elements (47 x 97)</t>
  </si>
  <si>
    <r>
      <rPr>
        <sz val="11"/>
        <color theme="1"/>
        <rFont val="Calibri"/>
      </rPr>
      <t xml:space="preserve">ICE DB V.4 - Timber Softwood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</si>
  <si>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Joist web (metal lattice; 304 mm deep)</t>
  </si>
  <si>
    <t>Metal web (SJ12 - 304 mm)</t>
  </si>
  <si>
    <r>
      <rPr>
        <sz val="11"/>
        <color theme="1"/>
        <rFont val="Calibri"/>
      </rPr>
      <t xml:space="preserve">ICE DB V.4 - Steel Hot Rolled Coil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</si>
  <si>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</si>
  <si>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</si>
  <si>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</si>
  <si>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</si>
  <si>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t>Surface for Ceiling Finish</t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</si>
  <si>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</si>
  <si>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SLAB_003</t>
  </si>
  <si>
    <t>LGS C Joist Compartment Floor</t>
  </si>
  <si>
    <t>Deck sheathing (floor surface)</t>
  </si>
  <si>
    <t>OSB</t>
  </si>
  <si>
    <r>
      <rPr>
        <sz val="11"/>
        <color theme="1"/>
        <rFont val="Calibri"/>
      </rPr>
      <t xml:space="preserve">ICE DB V.4 - OSB (Global Avg.): </t>
    </r>
    <r>
      <rPr>
        <u/>
        <sz val="11"/>
        <color rgb="FF1155CC"/>
        <rFont val="Calibri"/>
      </rPr>
      <t>https://circularecology.com/embodied-carbon-footprint-database.html</t>
    </r>
    <r>
      <rPr>
        <sz val="11"/>
        <color theme="1"/>
        <rFont val="Calibri"/>
      </rPr>
      <t xml:space="preserve"> </t>
    </r>
  </si>
  <si>
    <t>LGS, ICF, Traditional Masonry</t>
  </si>
  <si>
    <t>Primary structural joist</t>
  </si>
  <si>
    <t>LGS C Joist  (250mm depth, 50mm wide, 15mm lip) 400mm spacing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</si>
  <si>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</si>
  <si>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Joist end support / perimeter track</t>
  </si>
  <si>
    <t>LGS C Joist End Track (253.8 mm depth, 58mm wide, no lip)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</si>
  <si>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</si>
  <si>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Lateral bracing / joist stabilisation</t>
  </si>
  <si>
    <t>Steel Noggins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</si>
  <si>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</si>
  <si>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Joist hanger / connection</t>
  </si>
  <si>
    <t xml:space="preserve">Steel Z hanger 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</si>
  <si>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</si>
  <si>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Acoustic cavity infill (sound insulation)</t>
  </si>
  <si>
    <t>Mineral Wool Acoustic Insulation</t>
  </si>
  <si>
    <r>
      <rPr>
        <sz val="11"/>
        <rFont val="Arial"/>
      </rPr>
      <t xml:space="preserve">Rockwool EPD (UK): </t>
    </r>
    <r>
      <rPr>
        <u/>
        <sz val="11"/>
        <color rgb="FF1155CC"/>
        <rFont val="Arial"/>
      </rPr>
      <t>https://www.bauder.co.uk/getmedia/fba66c18-c541-4bb7-8304-831376ae6dc7/Environmental-Product-Declaration-Rockwool.pdf</t>
    </r>
    <r>
      <rPr>
        <sz val="11"/>
        <rFont val="Arial"/>
      </rPr>
      <t xml:space="preserve">  </t>
    </r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</si>
  <si>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</si>
  <si>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</si>
  <si>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</si>
  <si>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Gypframe Resilient Bars EPD (UK): </t>
    </r>
    <r>
      <rPr>
        <u/>
        <sz val="11"/>
        <color rgb="FF1155CC"/>
        <rFont val="Calibri"/>
      </rPr>
      <t>https://www.british-gypsum.com/documents/environmental-product-declaration-epd/british-gypsum-epd-gypframe-metal-framing-components.pdf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</si>
  <si>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</si>
  <si>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SLAB_004</t>
  </si>
  <si>
    <t>LGS Concrete Composite Floor</t>
  </si>
  <si>
    <t>Structural Concrete Slab</t>
  </si>
  <si>
    <t>Concrete In Situ (.131 m3 per m2 @ 150mm depth)</t>
  </si>
  <si>
    <t xml:space="preserve">ICE DB V.4 25/30 mpa assumed (Global Average): https://circularecology.com/embodied-carbon-footprint-database.html </t>
  </si>
  <si>
    <t>90 mins</t>
  </si>
  <si>
    <t xml:space="preserve">Concrete reinforcement </t>
  </si>
  <si>
    <t xml:space="preserve">A393 Steel Reinforcing Mesh </t>
  </si>
  <si>
    <r>
      <rPr>
        <sz val="11"/>
        <rFont val="Arial"/>
      </rPr>
      <t xml:space="preserve">ICE DB V.4 (European Rebar, 85% recycled content):  </t>
    </r>
    <r>
      <rPr>
        <u/>
        <sz val="11"/>
        <color rgb="FF1155CC"/>
        <rFont val="Arial"/>
      </rPr>
      <t>https://circularecology.com/embodied-carbon-footprint-database.html</t>
    </r>
    <r>
      <rPr>
        <sz val="11"/>
        <rFont val="Arial"/>
      </rPr>
      <t xml:space="preserve"> </t>
    </r>
  </si>
  <si>
    <t>Edge profile / concrete form</t>
  </si>
  <si>
    <t xml:space="preserve">Steel Edge Trim 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</si>
  <si>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</si>
  <si>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Composite floor decking (formwork + tensile reinforcement)</t>
  </si>
  <si>
    <t xml:space="preserve">Steel Comfloor 1.2mm 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</si>
  <si>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</si>
  <si>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Attachment Point for Ceiling Ties</t>
  </si>
  <si>
    <t>Ceiling Tie Track 600mm grid spacing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</si>
  <si>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</si>
  <si>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Support for Ceiling Plasterboard</t>
  </si>
  <si>
    <t>Ceiling Ties</t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</si>
  <si>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</si>
  <si>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t>Mineral Wool Batt Insulation</t>
  </si>
  <si>
    <r>
      <rPr>
        <sz val="11"/>
        <rFont val="Arial"/>
      </rPr>
      <t xml:space="preserve">Rockwool EPD (UK): </t>
    </r>
    <r>
      <rPr>
        <u/>
        <sz val="11"/>
        <color rgb="FF1155CC"/>
        <rFont val="Arial"/>
      </rPr>
      <t>https://www.bauder.co.uk/getmedia/fba66c18-c541-4bb7-8304-831376ae6dc7/Environmental-Product-Declaration-Rockwool.pdf</t>
    </r>
    <r>
      <rPr>
        <sz val="11"/>
        <rFont val="Arial"/>
      </rPr>
      <t xml:space="preserve">   </t>
    </r>
  </si>
  <si>
    <t>Resilient Batten</t>
  </si>
  <si>
    <r>
      <rPr>
        <sz val="11"/>
        <rFont val="Arial"/>
      </rPr>
      <t xml:space="preserve">Rockwool EPD (UK): </t>
    </r>
    <r>
      <rPr>
        <u/>
        <sz val="11"/>
        <color rgb="FF1155CC"/>
        <rFont val="Arial"/>
      </rPr>
      <t>https://www.bauder.co.uk/getmedia/fba66c18-c541-4bb7-8304-831376ae6dc7/Environmental-Product-Declaration-Rockwool.pdf</t>
    </r>
    <r>
      <rPr>
        <sz val="11"/>
        <rFont val="Arial"/>
      </rPr>
      <t xml:space="preserve">  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</si>
  <si>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</si>
  <si>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t>SLAB_005</t>
  </si>
  <si>
    <t>ICF</t>
  </si>
  <si>
    <t>Concrete Hollowcore Floor</t>
  </si>
  <si>
    <t>Precast structural slab (hollowcore unit incl. strands)</t>
  </si>
  <si>
    <t>150mm Hollowcore slab with reinforcement</t>
  </si>
  <si>
    <r>
      <rPr>
        <sz val="11"/>
        <rFont val="Arial"/>
      </rPr>
      <t xml:space="preserve">Mannock EPD (Ireland): </t>
    </r>
    <r>
      <rPr>
        <u/>
        <sz val="11"/>
        <color rgb="FF1155CC"/>
        <rFont val="Arial"/>
      </rPr>
      <t>https://www.igbc.ie/wp-content/uploads/2025/09/EPD-Mannok-Hollowcore-200-02-09-25-EPDIE-24-210.pdf</t>
    </r>
    <r>
      <rPr>
        <sz val="11"/>
        <rFont val="Arial"/>
      </rPr>
      <t xml:space="preserve">  </t>
    </r>
  </si>
  <si>
    <t>ICF, Traditional Masonry</t>
  </si>
  <si>
    <t>Screed Reinforcement</t>
  </si>
  <si>
    <t>A393 Steel Reinforcing Mesh (6.16 kg per m2)</t>
  </si>
  <si>
    <r>
      <rPr>
        <sz val="11"/>
        <rFont val="Arial"/>
      </rPr>
      <t xml:space="preserve">ICE DB V.4 - (European Rebar, 85% recycled content):  </t>
    </r>
    <r>
      <rPr>
        <u/>
        <sz val="11"/>
        <color rgb="FF1155CC"/>
        <rFont val="Arial"/>
      </rPr>
      <t>https://circularecology.com/embodied-carbon-footprint-database.html</t>
    </r>
    <r>
      <rPr>
        <sz val="11"/>
        <rFont val="Arial"/>
      </rPr>
      <t xml:space="preserve"> </t>
    </r>
  </si>
  <si>
    <t>Acoustic layer (impact sound insulation)</t>
  </si>
  <si>
    <r>
      <rPr>
        <sz val="11"/>
        <rFont val="Arial"/>
      </rPr>
      <t xml:space="preserve">Interfloor EPD (Europe): </t>
    </r>
    <r>
      <rPr>
        <u/>
        <sz val="11"/>
        <color rgb="FF1155CC"/>
        <rFont val="Arial"/>
      </rPr>
      <t>https://www.se.weber/files/se/2020-08/2020-08-28_S-P-02164_EPD_Aprobo.pdf</t>
    </r>
    <r>
      <rPr>
        <sz val="11"/>
        <rFont val="Arial"/>
      </rPr>
      <t xml:space="preserve">  </t>
    </r>
  </si>
  <si>
    <t>SLAB_006</t>
  </si>
  <si>
    <t>Structural Screed</t>
  </si>
  <si>
    <t>80mm Structural Screed</t>
  </si>
  <si>
    <r>
      <rPr>
        <sz val="11"/>
        <rFont val="Arial"/>
      </rPr>
      <t xml:space="preserve">ICE DB V.4 (UK Avg. Mortar/Screed; 1:4 Sand/Cement):  </t>
    </r>
    <r>
      <rPr>
        <u/>
        <sz val="11"/>
        <color rgb="FF1155CC"/>
        <rFont val="Arial"/>
      </rPr>
      <t>https://circularecology.com/embodied-carbon-footprint-database.html</t>
    </r>
    <r>
      <rPr>
        <sz val="11"/>
        <rFont val="Arial"/>
      </rPr>
      <t xml:space="preserve">   </t>
    </r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</si>
  <si>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</si>
  <si>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r>
      <rPr>
        <sz val="11"/>
        <color theme="1"/>
        <rFont val="Calibri"/>
      </rPr>
      <t xml:space="preserve">WorldSteel Galvanized Steel Coil  European Average: </t>
    </r>
    <r>
      <rPr>
        <u/>
        <sz val="11"/>
        <color rgb="FF1155CC"/>
        <rFont val="Calibri"/>
      </rPr>
      <t>https://worldsteel.org/wp-content/uploads/Hot-dip-galvanised-coil-Europe-Construction.pdf</t>
    </r>
    <r>
      <rPr>
        <sz val="11"/>
        <color theme="1"/>
        <rFont val="Calibri"/>
      </rPr>
      <t xml:space="preserve"> </t>
    </r>
  </si>
  <si>
    <r>
      <rPr>
        <sz val="11"/>
        <rFont val="Arial"/>
      </rPr>
      <t xml:space="preserve">Rockwool EPD (UK): </t>
    </r>
    <r>
      <rPr>
        <u/>
        <sz val="11"/>
        <color rgb="FF1155CC"/>
        <rFont val="Arial"/>
      </rPr>
      <t>https://www.bauder.co.uk/getmedia/fba66c18-c541-4bb7-8304-831376ae6dc7/Environmental-Product-Declaration-Rockwool.pdf</t>
    </r>
    <r>
      <rPr>
        <sz val="11"/>
        <rFont val="Arial"/>
      </rPr>
      <t xml:space="preserve">   </t>
    </r>
  </si>
  <si>
    <r>
      <rPr>
        <sz val="11"/>
        <rFont val="Arial"/>
      </rPr>
      <t xml:space="preserve">Rockwool EPD (UK): </t>
    </r>
    <r>
      <rPr>
        <u/>
        <sz val="11"/>
        <color rgb="FF1155CC"/>
        <rFont val="Arial"/>
      </rPr>
      <t>https://www.bauder.co.uk/getmedia/fba66c18-c541-4bb7-8304-831376ae6dc7/Environmental-Product-Declaration-Rockwool.pdf</t>
    </r>
    <r>
      <rPr>
        <sz val="11"/>
        <rFont val="Arial"/>
      </rPr>
      <t xml:space="preserve">   </t>
    </r>
  </si>
  <si>
    <r>
      <rPr>
        <sz val="11"/>
        <color theme="1"/>
        <rFont val="Calibri"/>
      </rPr>
      <t xml:space="preserve">Gyproc Fireline 12.5mm EPD (UK): </t>
    </r>
    <r>
      <rPr>
        <u/>
        <sz val="11"/>
        <color rgb="FF1155CC"/>
        <rFont val="Calibri"/>
      </rPr>
      <t>https://www.british-gypsum.com/documents/environmental-product-declaration-epd/british-gypsum-epd-gyproc-fireline-12.5mm.pdf</t>
    </r>
    <r>
      <rPr>
        <sz val="11"/>
        <color theme="1"/>
        <rFont val="Calibri"/>
      </rPr>
      <t xml:space="preserve"> </t>
    </r>
  </si>
  <si>
    <r>
      <rPr>
        <b/>
        <sz val="11"/>
        <color rgb="FF1F497D"/>
        <rFont val="Calibri"/>
      </rPr>
      <t>Density (kg.m</t>
    </r>
    <r>
      <rPr>
        <b/>
        <vertAlign val="superscript"/>
        <sz val="11"/>
        <color rgb="FF1F497D"/>
        <rFont val="Calibri"/>
      </rPr>
      <t>3</t>
    </r>
    <r>
      <rPr>
        <b/>
        <sz val="11"/>
        <color rgb="FF1F497D"/>
        <rFont val="Calibri"/>
      </rPr>
      <t>)</t>
    </r>
  </si>
  <si>
    <t>Grammage  (kg/m²)</t>
  </si>
  <si>
    <t xml:space="preserve">Floor Slab Compatibility </t>
  </si>
  <si>
    <t>Compatibility Notes</t>
  </si>
  <si>
    <t>Floor Finish</t>
  </si>
  <si>
    <t>FLOOR_FINISH_001</t>
  </si>
  <si>
    <t xml:space="preserve">Porcelain Tile </t>
  </si>
  <si>
    <t>A1-A3 Floor Finishes</t>
  </si>
  <si>
    <t>Impact sound insulation (underscreed)</t>
  </si>
  <si>
    <t>Resilient Acoustic Underscreed Insulation</t>
  </si>
  <si>
    <r>
      <rPr>
        <sz val="11"/>
        <rFont val="Arial"/>
      </rPr>
      <t xml:space="preserve">Interfloor EPD (UK): </t>
    </r>
    <r>
      <rPr>
        <u/>
        <sz val="11"/>
        <color rgb="FF1155CC"/>
        <rFont val="Arial"/>
      </rPr>
      <t>https://www.se.weber/files/se/2020-08/2020-08-28_S-P-02164_EPD_Aprobo.pdf</t>
    </r>
    <r>
      <rPr>
        <sz val="11"/>
        <rFont val="Arial"/>
      </rPr>
      <t xml:space="preserve">    </t>
    </r>
  </si>
  <si>
    <t>ALL</t>
  </si>
  <si>
    <t>Levelling / structural screed</t>
  </si>
  <si>
    <t>Cementitious Screed</t>
  </si>
  <si>
    <t xml:space="preserve">per kg </t>
  </si>
  <si>
    <r>
      <rPr>
        <sz val="11"/>
        <rFont val="Arial"/>
      </rPr>
      <t xml:space="preserve">ICE DB V.4 (UK Avg. Mortar/Screed; 1:4 Sand/Cement): </t>
    </r>
    <r>
      <rPr>
        <u/>
        <sz val="11"/>
        <color rgb="FF1155CC"/>
        <rFont val="Arial"/>
      </rPr>
      <t>https://circularecology.com/embodied-carbon-footprint-database.html</t>
    </r>
    <r>
      <rPr>
        <sz val="11"/>
        <rFont val="Arial"/>
      </rPr>
      <t xml:space="preserve">   </t>
    </r>
  </si>
  <si>
    <t>Screed is not included when installed over HOLLOWCORE SLAB</t>
  </si>
  <si>
    <t>Reinforcing Fibreglass Mesh</t>
  </si>
  <si>
    <r>
      <rPr>
        <sz val="11"/>
        <color rgb="FF000000"/>
        <rFont val="Arial"/>
      </rPr>
      <t xml:space="preserve">Vertex Fiberglass Reinforcing Mesh EPD (France): </t>
    </r>
    <r>
      <rPr>
        <u/>
        <sz val="11"/>
        <color rgb="FF1155CC"/>
        <rFont val="Arial"/>
      </rPr>
      <t>https://api.environdec.com/api/v1/EPDLibrary/Files/fec4ad6c-39cb-4cd7-9845-08db7e35bd3c/Data</t>
    </r>
    <r>
      <rPr>
        <sz val="11"/>
        <color rgb="FF000000"/>
        <rFont val="Arial"/>
      </rPr>
      <t xml:space="preserve"> </t>
    </r>
  </si>
  <si>
    <t>Reinforcing Mesh is not included when installed over HOLLOWCORE SLAB</t>
  </si>
  <si>
    <t>Finish floor tile</t>
  </si>
  <si>
    <t>Porcelain Tile (thickness variable)</t>
  </si>
  <si>
    <r>
      <rPr>
        <sz val="11"/>
        <rFont val="Arial"/>
      </rPr>
      <t xml:space="preserve">ICE DB V.4 - Ceramic, porcelain tile (Global Avg): </t>
    </r>
    <r>
      <rPr>
        <u/>
        <sz val="11"/>
        <color rgb="FF1155CC"/>
        <rFont val="Arial"/>
      </rPr>
      <t>https://circularecology.com/embodied-carbon-footprint-database.html</t>
    </r>
    <r>
      <rPr>
        <sz val="11"/>
        <rFont val="Arial"/>
      </rPr>
      <t xml:space="preserve">   </t>
    </r>
  </si>
  <si>
    <t>Tile grout / jointing</t>
  </si>
  <si>
    <t>Grout (quantity approximated)</t>
  </si>
  <si>
    <r>
      <rPr>
        <sz val="11"/>
        <rFont val="Arial"/>
      </rPr>
      <t xml:space="preserve">ICE DB V.4 - Cement, grout (Global Avg): </t>
    </r>
    <r>
      <rPr>
        <u/>
        <sz val="11"/>
        <color rgb="FF1155CC"/>
        <rFont val="Arial"/>
      </rPr>
      <t>https://circularecology.com/embodied-carbon-footprint-database.html</t>
    </r>
    <r>
      <rPr>
        <sz val="11"/>
        <rFont val="Arial"/>
      </rPr>
      <t xml:space="preserve">   </t>
    </r>
  </si>
  <si>
    <t>FLOOR_FINISH_002</t>
  </si>
  <si>
    <t xml:space="preserve">Vinyl </t>
  </si>
  <si>
    <t>Acoustic underlay (impact sound)</t>
  </si>
  <si>
    <t>Resilient Acoustic Layer</t>
  </si>
  <si>
    <r>
      <rPr>
        <sz val="11"/>
        <rFont val="Arial"/>
      </rPr>
      <t xml:space="preserve">Scan Underlay EPD (Denmark): </t>
    </r>
    <r>
      <rPr>
        <u/>
        <sz val="11"/>
        <color rgb="FF1155CC"/>
        <rFont val="Arial"/>
      </rPr>
      <t>https://www.epddanmark.dk/media/0rhbxti0/md-23149-en.pdf</t>
    </r>
    <r>
      <rPr>
        <sz val="11"/>
        <rFont val="Arial"/>
      </rPr>
      <t xml:space="preserve"> </t>
    </r>
  </si>
  <si>
    <t>Smoothing / levelling underlayment</t>
  </si>
  <si>
    <t>Floor Underlayment</t>
  </si>
  <si>
    <r>
      <rPr>
        <sz val="11"/>
        <rFont val="Arial"/>
      </rPr>
      <t xml:space="preserve">Pepi Rer Polyethylene Foam EPD (Latvia): </t>
    </r>
    <r>
      <rPr>
        <u/>
        <sz val="11"/>
        <color rgb="FF1155CC"/>
        <rFont val="Arial"/>
      </rPr>
      <t>https://api.environdec.com/api/v1/EPDLibrary/Files/fcde9c29-4255-4a03-a5e4-08dae89fe9e4/Data</t>
    </r>
    <r>
      <rPr>
        <sz val="11"/>
        <rFont val="Arial"/>
      </rPr>
      <t xml:space="preserve">  </t>
    </r>
  </si>
  <si>
    <t>Finish floor covering</t>
  </si>
  <si>
    <t>Vinyl Floor Tile</t>
  </si>
  <si>
    <r>
      <rPr>
        <sz val="11"/>
        <rFont val="Arial"/>
      </rPr>
      <t xml:space="preserve">Amtico EPD (UK): </t>
    </r>
    <r>
      <rPr>
        <u/>
        <sz val="11"/>
        <color rgb="FF1155CC"/>
        <rFont val="Arial"/>
      </rPr>
      <t>https://media.amtico.com/image/upload/fl_attachment/v1741015854/Documents/Technical%20Documents/Product%20Certification/amtico-spacia-acoustic-epd-environmental-product-declaration.pdf</t>
    </r>
    <r>
      <rPr>
        <sz val="11"/>
        <rFont val="Arial"/>
      </rPr>
      <t xml:space="preserve">   </t>
    </r>
  </si>
  <si>
    <t>FLOOR_FINISH_003</t>
  </si>
  <si>
    <t>Laminate</t>
  </si>
  <si>
    <r>
      <rPr>
        <sz val="11"/>
        <rFont val="Arial"/>
      </rPr>
      <t xml:space="preserve">Scan Underlay EPD (Denmark): </t>
    </r>
    <r>
      <rPr>
        <u/>
        <sz val="11"/>
        <color rgb="FF1155CC"/>
        <rFont val="Arial"/>
      </rPr>
      <t>https://www.epddanmark.dk/media/0rhbxti0/md-23149-en.pdf</t>
    </r>
    <r>
      <rPr>
        <sz val="11"/>
        <rFont val="Arial"/>
      </rPr>
      <t xml:space="preserve"> </t>
    </r>
  </si>
  <si>
    <r>
      <rPr>
        <sz val="11"/>
        <rFont val="Arial"/>
      </rPr>
      <t xml:space="preserve">Pepi Rer Polyethylene Foam EPD (Latvia): </t>
    </r>
    <r>
      <rPr>
        <u/>
        <sz val="11"/>
        <color rgb="FF1155CC"/>
        <rFont val="Arial"/>
      </rPr>
      <t>https://api.environdec.com/api/v1/EPDLibrary/Files/fcde9c29-4255-4a03-a5e4-08dae89fe9e4/Data</t>
    </r>
    <r>
      <rPr>
        <sz val="11"/>
        <rFont val="Arial"/>
      </rPr>
      <t xml:space="preserve">  </t>
    </r>
  </si>
  <si>
    <t>Wood Laminate Floor Tile</t>
  </si>
  <si>
    <r>
      <rPr>
        <sz val="11"/>
        <rFont val="Arial"/>
      </rPr>
      <t xml:space="preserve">Unilin EPD (Belgium): </t>
    </r>
    <r>
      <rPr>
        <u/>
        <sz val="11"/>
        <color rgb="FF1155CC"/>
        <rFont val="Arial"/>
      </rPr>
      <t>https://www.quick-step.co.uk/-/media/imported%20assets/flooring/6/4/e/epd%20direct%20pressure%20laminate%20floor%20covering%20unilinpdf264882.ashx?rev=b0f47bb2ebbd44ae9f8532274f2fbae9&amp;type=original&amp;filename=EPD+Laminate.pdf</t>
    </r>
    <r>
      <rPr>
        <sz val="11"/>
        <rFont val="Arial"/>
      </rPr>
      <t xml:space="preserve">  </t>
    </r>
  </si>
  <si>
    <t>FLOOR_FINISH_004</t>
  </si>
  <si>
    <t>Engineered Hardwood</t>
  </si>
  <si>
    <r>
      <rPr>
        <sz val="11"/>
        <rFont val="Arial"/>
      </rPr>
      <t xml:space="preserve">Scan Underlay EPD (Denmark): </t>
    </r>
    <r>
      <rPr>
        <u/>
        <sz val="11"/>
        <color rgb="FF1155CC"/>
        <rFont val="Arial"/>
      </rPr>
      <t>https://www.epddanmark.dk/media/0rhbxti0/md-23149-en.pdf</t>
    </r>
    <r>
      <rPr>
        <sz val="11"/>
        <rFont val="Arial"/>
      </rPr>
      <t xml:space="preserve"> </t>
    </r>
  </si>
  <si>
    <r>
      <rPr>
        <sz val="11"/>
        <rFont val="Arial"/>
      </rPr>
      <t xml:space="preserve">Pepi Rer Polyethylene Foam EPD (Latvia): </t>
    </r>
    <r>
      <rPr>
        <u/>
        <sz val="11"/>
        <color rgb="FF1155CC"/>
        <rFont val="Arial"/>
      </rPr>
      <t>https://api.environdec.com/api/v1/EPDLibrary/Files/fcde9c29-4255-4a03-a5e4-08dae89fe9e4/Data</t>
    </r>
    <r>
      <rPr>
        <sz val="11"/>
        <rFont val="Arial"/>
      </rPr>
      <t xml:space="preserve">  </t>
    </r>
  </si>
  <si>
    <t>Finish floor boards</t>
  </si>
  <si>
    <t>Engineered Hardwood Timber Boards</t>
  </si>
  <si>
    <r>
      <rPr>
        <sz val="11"/>
        <rFont val="Arial"/>
      </rPr>
      <t xml:space="preserve">Kahrs EPD (Sweden): </t>
    </r>
    <r>
      <rPr>
        <u/>
        <sz val="11"/>
        <color rgb="FF1155CC"/>
        <rFont val="Arial"/>
      </rPr>
      <t>https://hml-prod.imgix.net/epd-kahrs-engineered-wood-floors-en.pdf</t>
    </r>
    <r>
      <rPr>
        <sz val="11"/>
        <rFont val="Arial"/>
      </rPr>
      <t xml:space="preserve">  </t>
    </r>
  </si>
  <si>
    <t>FLOOR_FINISH_005</t>
  </si>
  <si>
    <t>Carpet</t>
  </si>
  <si>
    <r>
      <rPr>
        <sz val="11"/>
        <rFont val="Arial"/>
      </rPr>
      <t xml:space="preserve">Scan Underlay EPD: </t>
    </r>
    <r>
      <rPr>
        <u/>
        <sz val="11"/>
        <color rgb="FF1155CC"/>
        <rFont val="Arial"/>
      </rPr>
      <t>https://www.epddanmark.dk/media/0rhbxti0/md-23149-en.pdf</t>
    </r>
    <r>
      <rPr>
        <sz val="11"/>
        <rFont val="Arial"/>
      </rPr>
      <t xml:space="preserve"> </t>
    </r>
  </si>
  <si>
    <t>Cushion / padding underlay</t>
  </si>
  <si>
    <t>Padding Underlayment</t>
  </si>
  <si>
    <r>
      <rPr>
        <sz val="11"/>
        <rFont val="Arial"/>
      </rPr>
      <t xml:space="preserve">Interfloor Underlay EPD (UK): </t>
    </r>
    <r>
      <rPr>
        <u/>
        <sz val="11"/>
        <color rgb="FF1155CC"/>
        <rFont val="Arial"/>
      </rPr>
      <t>https://api.environdec.com/api/v1/EPDLibrary/Files/7d00274f-2810-4800-a282-08db196e9a1c/Data</t>
    </r>
    <r>
      <rPr>
        <sz val="11"/>
        <rFont val="Arial"/>
      </rPr>
      <t xml:space="preserve">  </t>
    </r>
  </si>
  <si>
    <r>
      <rPr>
        <sz val="11"/>
        <rFont val="Arial"/>
      </rPr>
      <t xml:space="preserve">Regency EPD (UK): </t>
    </r>
    <r>
      <rPr>
        <u/>
        <sz val="11"/>
        <color rgb="FF1155CC"/>
        <rFont val="Arial"/>
      </rPr>
      <t>https://api.environdec.com/api/v1/EPDLibrary/Files/bb80d705-6a5c-4164-5a10-08dd1e8396a5/Data</t>
    </r>
    <r>
      <rPr>
        <sz val="11"/>
        <rFont val="Arial"/>
      </rPr>
      <t xml:space="preserve">  </t>
    </r>
  </si>
  <si>
    <t>FLOOR_FINISH_006</t>
  </si>
  <si>
    <t>Screed</t>
  </si>
  <si>
    <r>
      <rPr>
        <sz val="11"/>
        <rFont val="Arial"/>
      </rPr>
      <t xml:space="preserve">Interfloor EPD (UK): </t>
    </r>
    <r>
      <rPr>
        <u/>
        <sz val="11"/>
        <color rgb="FF1155CC"/>
        <rFont val="Arial"/>
      </rPr>
      <t>https://www.se.weber/files/se/2020-08/2020-08-28_S-P-02164_EPD_Aprobo.pdf</t>
    </r>
    <r>
      <rPr>
        <sz val="11"/>
        <rFont val="Arial"/>
      </rPr>
      <t xml:space="preserve">    </t>
    </r>
  </si>
  <si>
    <r>
      <rPr>
        <sz val="11"/>
        <color theme="1"/>
        <rFont val="Calibri"/>
      </rPr>
      <t xml:space="preserve">ALL </t>
    </r>
    <r>
      <rPr>
        <i/>
        <sz val="11"/>
        <color theme="1"/>
        <rFont val="Calibri"/>
      </rPr>
      <t>except</t>
    </r>
    <r>
      <rPr>
        <sz val="11"/>
        <color theme="1"/>
        <rFont val="Calibri"/>
      </rPr>
      <t xml:space="preserve"> HOLLOWCORE SLAB  </t>
    </r>
  </si>
  <si>
    <t xml:space="preserve">Hollowcore slab already includes Screed Finish </t>
  </si>
  <si>
    <r>
      <rPr>
        <sz val="11"/>
        <rFont val="Arial"/>
      </rPr>
      <t xml:space="preserve">ICE DB V.4 - UK Avg. Mortar/Screed; 1:4 Sand/Cement: </t>
    </r>
    <r>
      <rPr>
        <u/>
        <sz val="11"/>
        <color rgb="FF1155CC"/>
        <rFont val="Arial"/>
      </rPr>
      <t>https://circularecology.com/embodied-carbon-footprint-database.html</t>
    </r>
    <r>
      <rPr>
        <sz val="11"/>
        <rFont val="Arial"/>
      </rPr>
      <t xml:space="preserve"> </t>
    </r>
  </si>
  <si>
    <r>
      <rPr>
        <sz val="11"/>
        <color theme="1"/>
        <rFont val="Calibri"/>
      </rPr>
      <t xml:space="preserve">ALL </t>
    </r>
    <r>
      <rPr>
        <i/>
        <sz val="11"/>
        <color theme="1"/>
        <rFont val="Calibri"/>
      </rPr>
      <t>except</t>
    </r>
    <r>
      <rPr>
        <sz val="11"/>
        <color theme="1"/>
        <rFont val="Calibri"/>
      </rPr>
      <t xml:space="preserve"> HOLLOWCORE SLAB  </t>
    </r>
  </si>
  <si>
    <r>
      <rPr>
        <sz val="11"/>
        <color rgb="FF000000"/>
        <rFont val="Arial"/>
      </rPr>
      <t xml:space="preserve">Vertex Fiberglass Reinforcing Mesh EPD (France): </t>
    </r>
    <r>
      <rPr>
        <u/>
        <sz val="11"/>
        <color rgb="FF1155CC"/>
        <rFont val="Arial"/>
      </rPr>
      <t>https://api.environdec.com/api/v1/EPDLibrary/Files/fec4ad6c-39cb-4cd7-9845-08db7e35bd3c/Data</t>
    </r>
    <r>
      <rPr>
        <sz val="11"/>
        <color rgb="FF000000"/>
        <rFont val="Arial"/>
      </rPr>
      <t xml:space="preserve"> </t>
    </r>
  </si>
  <si>
    <t>CLAD_003</t>
  </si>
  <si>
    <t>CLAD_004</t>
  </si>
  <si>
    <t>CLAD_005</t>
  </si>
  <si>
    <t>A1-A3 Exterior Walls</t>
  </si>
  <si>
    <t>A1-A3 Interior Walls</t>
  </si>
  <si>
    <t>Distance Traveled (km)</t>
  </si>
  <si>
    <t>Weight per m² (kg)</t>
  </si>
  <si>
    <t>Total Weight for 500 m² (tonnes)</t>
  </si>
  <si>
    <t>Carbon Factor - Outward (50% laden)</t>
  </si>
  <si>
    <t>Outbound Emissions (kgCO₂e)</t>
  </si>
  <si>
    <t>Carbon Factor - Return (Empty)</t>
  </si>
  <si>
    <t>Return Emissions (kgCO₂e)</t>
  </si>
  <si>
    <t>Total per Truck (kgCO₂e)</t>
  </si>
  <si>
    <t>A4 (kgCO₂e/m²)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</si>
</sst>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48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1F497D"/>
      <name val="Calibri"/>
    </font>
    <font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2"/>
      <color theme="1"/>
      <name val="Calibri"/>
      <scheme val="minor"/>
    </font>
    <font>
      <u/>
      <sz val="11"/>
      <color theme="1"/>
      <name val="Calibri"/>
    </font>
    <font>
      <sz val="12"/>
      <color rgb="FF0000FF"/>
      <name val="Calibri"/>
    </font>
    <font>
      <sz val="11"/>
      <color theme="1"/>
      <name val="Calibri"/>
      <scheme val="minor"/>
    </font>
    <font>
      <u/>
      <sz val="11"/>
      <color rgb="FF0000FF"/>
      <name val="Arial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1"/>
      <color rgb="FF0000FF"/>
      <name val="Arial"/>
    </font>
    <font>
      <u/>
      <sz val="11"/>
      <color rgb="FF0000FF"/>
      <name val="Arial"/>
    </font>
    <font>
      <u/>
      <sz val="11"/>
      <color theme="1"/>
      <name val="Calibri"/>
    </font>
    <font>
      <u/>
      <sz val="11"/>
      <color rgb="FF0000FF"/>
      <name val="Arial"/>
    </font>
    <font>
      <sz val="11"/>
      <color rgb="FF000000"/>
      <name val="Arial"/>
    </font>
    <font>
      <u/>
      <sz val="11"/>
      <color rgb="FF0000FF"/>
      <name val="Calibri"/>
    </font>
    <font>
      <sz val="11"/>
      <color rgb="FF0000FF"/>
      <name val="Arial"/>
    </font>
    <font>
      <b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vertAlign val="superscript"/>
      <sz val="11"/>
      <color rgb="FF1F497D"/>
      <name val="Calibri"/>
    </font>
    <font>
      <u/>
      <sz val="11"/>
      <color rgb="FF1155CC"/>
      <name val="Calibri"/>
    </font>
    <font>
      <sz val="12"/>
      <name val="Calibri"/>
    </font>
    <font>
      <u/>
      <sz val="12"/>
      <color rgb="FF1155CC"/>
      <name val="Calibri"/>
    </font>
    <font>
      <sz val="11"/>
      <name val="Arial"/>
    </font>
    <font>
      <u/>
      <sz val="11"/>
      <color rgb="FF1155CC"/>
      <name val="Arial"/>
    </font>
    <font>
      <u/>
      <sz val="11"/>
      <color rgb="FF000000"/>
      <name val="Arial"/>
    </font>
    <font>
      <sz val="11"/>
      <color rgb="FF000000"/>
      <name val="Calibri"/>
    </font>
    <font>
      <i/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B6DDE8"/>
        <bgColor rgb="FFB6DDE8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19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wrapText="1"/>
    </xf>
    <xf numFmtId="2" fontId="3" fillId="2" borderId="2" xfId="0" applyNumberFormat="1" applyFont="1" applyFill="1" applyBorder="1" applyAlignment="1">
      <alignment wrapText="1"/>
    </xf>
    <xf numFmtId="4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horizontal="right" wrapText="1"/>
    </xf>
    <xf numFmtId="164" fontId="4" fillId="2" borderId="2" xfId="0" applyNumberFormat="1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3" fillId="3" borderId="2" xfId="0" applyFont="1" applyFill="1" applyBorder="1" applyAlignment="1">
      <alignment wrapText="1"/>
    </xf>
    <xf numFmtId="2" fontId="3" fillId="3" borderId="2" xfId="0" applyNumberFormat="1" applyFont="1" applyFill="1" applyBorder="1" applyAlignment="1">
      <alignment wrapText="1"/>
    </xf>
    <xf numFmtId="4" fontId="3" fillId="3" borderId="2" xfId="0" applyNumberFormat="1" applyFont="1" applyFill="1" applyBorder="1" applyAlignment="1">
      <alignment wrapText="1"/>
    </xf>
    <xf numFmtId="164" fontId="3" fillId="3" borderId="2" xfId="0" applyNumberFormat="1" applyFont="1" applyFill="1" applyBorder="1" applyAlignment="1">
      <alignment wrapText="1"/>
    </xf>
    <xf numFmtId="164" fontId="3" fillId="3" borderId="2" xfId="0" applyNumberFormat="1" applyFont="1" applyFill="1" applyBorder="1" applyAlignment="1">
      <alignment horizontal="right" wrapText="1"/>
    </xf>
    <xf numFmtId="164" fontId="5" fillId="3" borderId="2" xfId="0" applyNumberFormat="1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6" fillId="3" borderId="2" xfId="0" applyFont="1" applyFill="1" applyBorder="1" applyAlignment="1">
      <alignment horizontal="right" wrapText="1"/>
    </xf>
    <xf numFmtId="0" fontId="3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right" wrapText="1"/>
    </xf>
    <xf numFmtId="2" fontId="3" fillId="4" borderId="2" xfId="0" applyNumberFormat="1" applyFont="1" applyFill="1" applyBorder="1" applyAlignment="1">
      <alignment horizontal="right" wrapText="1"/>
    </xf>
    <xf numFmtId="165" fontId="3" fillId="4" borderId="2" xfId="0" applyNumberFormat="1" applyFont="1" applyFill="1" applyBorder="1" applyAlignment="1">
      <alignment horizontal="right" wrapText="1"/>
    </xf>
    <xf numFmtId="3" fontId="3" fillId="4" borderId="2" xfId="0" applyNumberFormat="1" applyFont="1" applyFill="1" applyBorder="1" applyAlignment="1">
      <alignment horizontal="right" wrapText="1"/>
    </xf>
    <xf numFmtId="4" fontId="3" fillId="4" borderId="2" xfId="0" applyNumberFormat="1" applyFont="1" applyFill="1" applyBorder="1" applyAlignment="1">
      <alignment horizontal="right" wrapText="1"/>
    </xf>
    <xf numFmtId="0" fontId="7" fillId="4" borderId="2" xfId="0" applyFont="1" applyFill="1" applyBorder="1" applyAlignment="1">
      <alignment horizontal="right" wrapText="1"/>
    </xf>
    <xf numFmtId="4" fontId="3" fillId="4" borderId="2" xfId="0" applyNumberFormat="1" applyFont="1" applyFill="1" applyBorder="1" applyAlignment="1">
      <alignment wrapText="1"/>
    </xf>
    <xf numFmtId="0" fontId="3" fillId="4" borderId="0" xfId="0" applyFont="1" applyFill="1" applyAlignment="1">
      <alignment horizontal="right" wrapText="1"/>
    </xf>
    <xf numFmtId="2" fontId="3" fillId="4" borderId="2" xfId="0" applyNumberFormat="1" applyFont="1" applyFill="1" applyBorder="1" applyAlignment="1">
      <alignment wrapText="1"/>
    </xf>
    <xf numFmtId="165" fontId="3" fillId="4" borderId="2" xfId="0" applyNumberFormat="1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2" fontId="3" fillId="5" borderId="2" xfId="0" applyNumberFormat="1" applyFont="1" applyFill="1" applyBorder="1" applyAlignment="1">
      <alignment wrapText="1"/>
    </xf>
    <xf numFmtId="0" fontId="3" fillId="5" borderId="2" xfId="0" applyFont="1" applyFill="1" applyBorder="1" applyAlignment="1">
      <alignment horizontal="right" wrapText="1"/>
    </xf>
    <xf numFmtId="164" fontId="3" fillId="5" borderId="2" xfId="0" applyNumberFormat="1" applyFont="1" applyFill="1" applyBorder="1" applyAlignment="1">
      <alignment wrapText="1"/>
    </xf>
    <xf numFmtId="164" fontId="3" fillId="5" borderId="2" xfId="0" applyNumberFormat="1" applyFont="1" applyFill="1" applyBorder="1" applyAlignment="1">
      <alignment horizontal="right" wrapText="1"/>
    </xf>
    <xf numFmtId="164" fontId="8" fillId="5" borderId="2" xfId="0" applyNumberFormat="1" applyFont="1" applyFill="1" applyBorder="1" applyAlignment="1">
      <alignment horizontal="right" wrapText="1"/>
    </xf>
    <xf numFmtId="4" fontId="3" fillId="5" borderId="2" xfId="0" applyNumberFormat="1" applyFont="1" applyFill="1" applyBorder="1" applyAlignment="1">
      <alignment wrapText="1"/>
    </xf>
    <xf numFmtId="0" fontId="3" fillId="5" borderId="0" xfId="0" applyFont="1" applyFill="1" applyAlignment="1">
      <alignment horizontal="right" wrapText="1"/>
    </xf>
    <xf numFmtId="0" fontId="9" fillId="5" borderId="0" xfId="0" applyFont="1" applyFill="1" applyAlignment="1">
      <alignment wrapText="1"/>
    </xf>
    <xf numFmtId="2" fontId="3" fillId="5" borderId="2" xfId="0" applyNumberFormat="1" applyFont="1" applyFill="1" applyBorder="1" applyAlignment="1">
      <alignment horizontal="right" wrapText="1"/>
    </xf>
    <xf numFmtId="0" fontId="10" fillId="5" borderId="2" xfId="0" applyFont="1" applyFill="1" applyBorder="1" applyAlignment="1">
      <alignment horizontal="right" wrapText="1"/>
    </xf>
    <xf numFmtId="4" fontId="11" fillId="5" borderId="0" xfId="0" applyNumberFormat="1" applyFont="1" applyFill="1" applyAlignment="1">
      <alignment wrapText="1"/>
    </xf>
    <xf numFmtId="0" fontId="12" fillId="5" borderId="0" xfId="0" applyFont="1" applyFill="1" applyAlignment="1">
      <alignment wrapText="1"/>
    </xf>
    <xf numFmtId="0" fontId="13" fillId="5" borderId="0" xfId="0" applyFont="1" applyFill="1" applyAlignment="1">
      <alignment horizontal="right" wrapText="1"/>
    </xf>
    <xf numFmtId="0" fontId="12" fillId="0" borderId="0" xfId="0" applyFont="1" applyAlignment="1">
      <alignment wrapText="1"/>
    </xf>
    <xf numFmtId="2" fontId="12" fillId="0" borderId="0" xfId="0" applyNumberFormat="1" applyFont="1" applyAlignment="1">
      <alignment wrapText="1"/>
    </xf>
    <xf numFmtId="0" fontId="3" fillId="0" borderId="0" xfId="0" applyFont="1" applyAlignment="1">
      <alignment horizontal="right" wrapText="1"/>
    </xf>
    <xf numFmtId="4" fontId="12" fillId="0" borderId="0" xfId="0" applyNumberFormat="1" applyFont="1" applyAlignment="1">
      <alignment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/>
    </xf>
    <xf numFmtId="0" fontId="3" fillId="6" borderId="2" xfId="0" applyFont="1" applyFill="1" applyBorder="1" applyAlignment="1">
      <alignment wrapText="1"/>
    </xf>
    <xf numFmtId="164" fontId="3" fillId="6" borderId="2" xfId="0" applyNumberFormat="1" applyFont="1" applyFill="1" applyBorder="1" applyAlignment="1">
      <alignment wrapText="1"/>
    </xf>
    <xf numFmtId="2" fontId="3" fillId="6" borderId="2" xfId="0" applyNumberFormat="1" applyFont="1" applyFill="1" applyBorder="1" applyAlignment="1">
      <alignment wrapText="1"/>
    </xf>
    <xf numFmtId="4" fontId="3" fillId="6" borderId="2" xfId="0" applyNumberFormat="1" applyFont="1" applyFill="1" applyBorder="1" applyAlignment="1">
      <alignment wrapText="1"/>
    </xf>
    <xf numFmtId="164" fontId="3" fillId="6" borderId="2" xfId="0" applyNumberFormat="1" applyFont="1" applyFill="1" applyBorder="1" applyAlignment="1">
      <alignment horizontal="right" wrapText="1"/>
    </xf>
    <xf numFmtId="164" fontId="14" fillId="6" borderId="2" xfId="0" applyNumberFormat="1" applyFont="1" applyFill="1" applyBorder="1" applyAlignment="1">
      <alignment horizontal="right" wrapText="1"/>
    </xf>
    <xf numFmtId="0" fontId="3" fillId="6" borderId="2" xfId="0" applyFont="1" applyFill="1" applyBorder="1" applyAlignment="1">
      <alignment horizontal="right" wrapText="1"/>
    </xf>
    <xf numFmtId="0" fontId="3" fillId="6" borderId="0" xfId="0" applyFont="1" applyFill="1" applyAlignment="1">
      <alignment horizontal="right" wrapText="1"/>
    </xf>
    <xf numFmtId="0" fontId="3" fillId="3" borderId="2" xfId="0" applyFont="1" applyFill="1" applyBorder="1"/>
    <xf numFmtId="0" fontId="3" fillId="7" borderId="2" xfId="0" applyFont="1" applyFill="1" applyBorder="1" applyAlignment="1">
      <alignment wrapText="1"/>
    </xf>
    <xf numFmtId="164" fontId="3" fillId="7" borderId="2" xfId="0" applyNumberFormat="1" applyFont="1" applyFill="1" applyBorder="1" applyAlignment="1">
      <alignment wrapText="1"/>
    </xf>
    <xf numFmtId="2" fontId="3" fillId="7" borderId="2" xfId="0" applyNumberFormat="1" applyFont="1" applyFill="1" applyBorder="1" applyAlignment="1">
      <alignment wrapText="1"/>
    </xf>
    <xf numFmtId="4" fontId="3" fillId="7" borderId="2" xfId="0" applyNumberFormat="1" applyFont="1" applyFill="1" applyBorder="1" applyAlignment="1">
      <alignment wrapText="1"/>
    </xf>
    <xf numFmtId="164" fontId="3" fillId="7" borderId="2" xfId="0" applyNumberFormat="1" applyFont="1" applyFill="1" applyBorder="1" applyAlignment="1">
      <alignment horizontal="right" wrapText="1"/>
    </xf>
    <xf numFmtId="164" fontId="15" fillId="7" borderId="2" xfId="0" applyNumberFormat="1" applyFont="1" applyFill="1" applyBorder="1" applyAlignment="1">
      <alignment horizontal="right" wrapText="1"/>
    </xf>
    <xf numFmtId="0" fontId="3" fillId="7" borderId="2" xfId="0" applyFont="1" applyFill="1" applyBorder="1" applyAlignment="1">
      <alignment horizontal="right" wrapText="1"/>
    </xf>
    <xf numFmtId="0" fontId="3" fillId="7" borderId="0" xfId="0" applyFont="1" applyFill="1" applyAlignment="1">
      <alignment horizontal="right" wrapText="1"/>
    </xf>
    <xf numFmtId="0" fontId="3" fillId="7" borderId="2" xfId="0" applyFont="1" applyFill="1" applyBorder="1"/>
    <xf numFmtId="0" fontId="3" fillId="4" borderId="2" xfId="0" applyFont="1" applyFill="1" applyBorder="1"/>
    <xf numFmtId="164" fontId="12" fillId="0" borderId="0" xfId="0" applyNumberFormat="1" applyFont="1" applyAlignment="1">
      <alignment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8" borderId="2" xfId="0" applyFont="1" applyFill="1" applyBorder="1"/>
    <xf numFmtId="164" fontId="3" fillId="8" borderId="2" xfId="0" applyNumberFormat="1" applyFont="1" applyFill="1" applyBorder="1"/>
    <xf numFmtId="0" fontId="3" fillId="8" borderId="2" xfId="0" applyFont="1" applyFill="1" applyBorder="1" applyAlignment="1">
      <alignment horizontal="right"/>
    </xf>
    <xf numFmtId="0" fontId="16" fillId="8" borderId="2" xfId="0" applyFont="1" applyFill="1" applyBorder="1" applyAlignment="1">
      <alignment horizontal="right" wrapText="1"/>
    </xf>
    <xf numFmtId="2" fontId="3" fillId="8" borderId="2" xfId="0" applyNumberFormat="1" applyFont="1" applyFill="1" applyBorder="1"/>
    <xf numFmtId="0" fontId="3" fillId="9" borderId="2" xfId="0" applyFont="1" applyFill="1" applyBorder="1"/>
    <xf numFmtId="164" fontId="3" fillId="9" borderId="2" xfId="0" applyNumberFormat="1" applyFont="1" applyFill="1" applyBorder="1"/>
    <xf numFmtId="0" fontId="3" fillId="9" borderId="2" xfId="0" applyFont="1" applyFill="1" applyBorder="1" applyAlignment="1">
      <alignment horizontal="right"/>
    </xf>
    <xf numFmtId="0" fontId="17" fillId="9" borderId="0" xfId="0" applyFont="1" applyFill="1" applyAlignment="1">
      <alignment horizontal="right" wrapText="1"/>
    </xf>
    <xf numFmtId="2" fontId="3" fillId="9" borderId="2" xfId="0" applyNumberFormat="1" applyFont="1" applyFill="1" applyBorder="1"/>
    <xf numFmtId="0" fontId="18" fillId="9" borderId="0" xfId="0" applyFont="1" applyFill="1" applyAlignment="1">
      <alignment horizontal="right" wrapText="1"/>
    </xf>
    <xf numFmtId="0" fontId="19" fillId="9" borderId="2" xfId="0" applyFont="1" applyFill="1" applyBorder="1" applyAlignment="1">
      <alignment horizontal="right" wrapText="1"/>
    </xf>
    <xf numFmtId="0" fontId="3" fillId="8" borderId="2" xfId="0" applyFont="1" applyFill="1" applyBorder="1" applyAlignment="1">
      <alignment wrapText="1"/>
    </xf>
    <xf numFmtId="4" fontId="20" fillId="8" borderId="0" xfId="0" applyNumberFormat="1" applyFont="1" applyFill="1" applyAlignment="1">
      <alignment horizontal="right" wrapText="1"/>
    </xf>
    <xf numFmtId="4" fontId="21" fillId="8" borderId="0" xfId="0" applyNumberFormat="1" applyFont="1" applyFill="1" applyAlignment="1">
      <alignment horizontal="right" wrapText="1"/>
    </xf>
    <xf numFmtId="0" fontId="17" fillId="8" borderId="0" xfId="0" applyFont="1" applyFill="1" applyAlignment="1">
      <alignment horizontal="right" wrapText="1"/>
    </xf>
    <xf numFmtId="0" fontId="21" fillId="8" borderId="0" xfId="0" applyFont="1" applyFill="1" applyAlignment="1">
      <alignment horizontal="right" wrapText="1"/>
    </xf>
    <xf numFmtId="4" fontId="22" fillId="9" borderId="0" xfId="0" applyNumberFormat="1" applyFont="1" applyFill="1" applyAlignment="1">
      <alignment horizontal="right" wrapText="1"/>
    </xf>
    <xf numFmtId="164" fontId="12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2" fontId="12" fillId="0" borderId="0" xfId="0" applyNumberFormat="1" applyFont="1"/>
    <xf numFmtId="0" fontId="1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2" fontId="3" fillId="3" borderId="2" xfId="0" applyNumberFormat="1" applyFont="1" applyFill="1" applyBorder="1"/>
    <xf numFmtId="0" fontId="23" fillId="3" borderId="0" xfId="0" applyFont="1" applyFill="1" applyAlignment="1">
      <alignment wrapText="1"/>
    </xf>
    <xf numFmtId="0" fontId="24" fillId="3" borderId="2" xfId="0" applyFont="1" applyFill="1" applyBorder="1"/>
    <xf numFmtId="2" fontId="3" fillId="7" borderId="2" xfId="0" applyNumberFormat="1" applyFont="1" applyFill="1" applyBorder="1"/>
    <xf numFmtId="0" fontId="25" fillId="7" borderId="2" xfId="0" applyFont="1" applyFill="1" applyBorder="1" applyAlignment="1">
      <alignment horizontal="right" wrapText="1"/>
    </xf>
    <xf numFmtId="4" fontId="3" fillId="7" borderId="2" xfId="0" applyNumberFormat="1" applyFont="1" applyFill="1" applyBorder="1"/>
    <xf numFmtId="3" fontId="3" fillId="7" borderId="2" xfId="0" applyNumberFormat="1" applyFont="1" applyFill="1" applyBorder="1"/>
    <xf numFmtId="4" fontId="3" fillId="7" borderId="2" xfId="0" applyNumberFormat="1" applyFont="1" applyFill="1" applyBorder="1" applyAlignment="1">
      <alignment horizontal="right" wrapText="1"/>
    </xf>
    <xf numFmtId="0" fontId="23" fillId="7" borderId="0" xfId="0" applyFont="1" applyFill="1" applyAlignment="1">
      <alignment wrapText="1"/>
    </xf>
    <xf numFmtId="4" fontId="26" fillId="7" borderId="2" xfId="0" applyNumberFormat="1" applyFont="1" applyFill="1" applyBorder="1" applyAlignment="1">
      <alignment horizontal="right" wrapText="1"/>
    </xf>
    <xf numFmtId="0" fontId="24" fillId="7" borderId="2" xfId="0" applyFont="1" applyFill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2" xfId="0" applyFont="1" applyFill="1" applyBorder="1" applyAlignment="1">
      <alignment horizontal="right"/>
    </xf>
    <xf numFmtId="0" fontId="27" fillId="2" borderId="2" xfId="0" applyFont="1" applyFill="1" applyBorder="1" applyAlignment="1">
      <alignment horizontal="right" wrapText="1"/>
    </xf>
    <xf numFmtId="0" fontId="23" fillId="2" borderId="0" xfId="0" applyFont="1" applyFill="1" applyAlignment="1">
      <alignment horizontal="right" wrapText="1"/>
    </xf>
    <xf numFmtId="0" fontId="24" fillId="2" borderId="2" xfId="0" applyFont="1" applyFill="1" applyBorder="1"/>
    <xf numFmtId="0" fontId="3" fillId="6" borderId="2" xfId="0" applyFont="1" applyFill="1" applyBorder="1"/>
    <xf numFmtId="2" fontId="3" fillId="6" borderId="2" xfId="0" applyNumberFormat="1" applyFont="1" applyFill="1" applyBorder="1"/>
    <xf numFmtId="0" fontId="3" fillId="6" borderId="2" xfId="0" applyFont="1" applyFill="1" applyBorder="1" applyAlignment="1">
      <alignment horizontal="right"/>
    </xf>
    <xf numFmtId="0" fontId="28" fillId="6" borderId="0" xfId="0" applyFont="1" applyFill="1" applyAlignment="1">
      <alignment wrapText="1"/>
    </xf>
    <xf numFmtId="0" fontId="29" fillId="6" borderId="0" xfId="0" applyFont="1" applyFill="1" applyAlignment="1">
      <alignment wrapText="1"/>
    </xf>
    <xf numFmtId="0" fontId="12" fillId="6" borderId="0" xfId="0" applyFont="1" applyFill="1"/>
    <xf numFmtId="4" fontId="3" fillId="6" borderId="2" xfId="0" applyNumberFormat="1" applyFont="1" applyFill="1" applyBorder="1"/>
    <xf numFmtId="3" fontId="3" fillId="6" borderId="2" xfId="0" applyNumberFormat="1" applyFont="1" applyFill="1" applyBorder="1"/>
    <xf numFmtId="4" fontId="3" fillId="6" borderId="2" xfId="0" applyNumberFormat="1" applyFont="1" applyFill="1" applyBorder="1" applyAlignment="1">
      <alignment horizontal="right" wrapText="1"/>
    </xf>
    <xf numFmtId="0" fontId="23" fillId="6" borderId="0" xfId="0" applyFont="1" applyFill="1" applyAlignment="1">
      <alignment wrapText="1"/>
    </xf>
    <xf numFmtId="0" fontId="24" fillId="6" borderId="2" xfId="0" applyFont="1" applyFill="1" applyBorder="1"/>
    <xf numFmtId="0" fontId="3" fillId="10" borderId="2" xfId="0" applyFont="1" applyFill="1" applyBorder="1"/>
    <xf numFmtId="0" fontId="3" fillId="10" borderId="2" xfId="0" applyFont="1" applyFill="1" applyBorder="1" applyAlignment="1">
      <alignment wrapText="1"/>
    </xf>
    <xf numFmtId="2" fontId="3" fillId="10" borderId="2" xfId="0" applyNumberFormat="1" applyFont="1" applyFill="1" applyBorder="1"/>
    <xf numFmtId="0" fontId="3" fillId="10" borderId="2" xfId="0" applyFont="1" applyFill="1" applyBorder="1" applyAlignment="1">
      <alignment horizontal="right"/>
    </xf>
    <xf numFmtId="0" fontId="23" fillId="10" borderId="0" xfId="0" applyFont="1" applyFill="1" applyAlignment="1">
      <alignment wrapText="1"/>
    </xf>
    <xf numFmtId="0" fontId="30" fillId="10" borderId="0" xfId="0" applyFont="1" applyFill="1" applyAlignment="1">
      <alignment wrapText="1"/>
    </xf>
    <xf numFmtId="0" fontId="12" fillId="10" borderId="0" xfId="0" applyFont="1" applyFill="1"/>
    <xf numFmtId="164" fontId="31" fillId="10" borderId="2" xfId="0" applyNumberFormat="1" applyFont="1" applyFill="1" applyBorder="1" applyAlignment="1">
      <alignment horizontal="right" wrapText="1"/>
    </xf>
    <xf numFmtId="4" fontId="3" fillId="10" borderId="2" xfId="0" applyNumberFormat="1" applyFont="1" applyFill="1" applyBorder="1"/>
    <xf numFmtId="3" fontId="3" fillId="10" borderId="2" xfId="0" applyNumberFormat="1" applyFont="1" applyFill="1" applyBorder="1"/>
    <xf numFmtId="4" fontId="3" fillId="10" borderId="2" xfId="0" applyNumberFormat="1" applyFont="1" applyFill="1" applyBorder="1" applyAlignment="1">
      <alignment horizontal="right" wrapText="1"/>
    </xf>
    <xf numFmtId="0" fontId="24" fillId="10" borderId="2" xfId="0" applyFont="1" applyFill="1" applyBorder="1"/>
    <xf numFmtId="2" fontId="3" fillId="10" borderId="2" xfId="0" applyNumberFormat="1" applyFont="1" applyFill="1" applyBorder="1" applyAlignment="1">
      <alignment wrapText="1"/>
    </xf>
    <xf numFmtId="164" fontId="3" fillId="10" borderId="2" xfId="0" applyNumberFormat="1" applyFont="1" applyFill="1" applyBorder="1" applyAlignment="1">
      <alignment horizontal="right" wrapText="1"/>
    </xf>
    <xf numFmtId="0" fontId="32" fillId="0" borderId="0" xfId="0" applyFont="1" applyAlignment="1">
      <alignment vertical="top" wrapText="1"/>
    </xf>
    <xf numFmtId="165" fontId="32" fillId="0" borderId="0" xfId="0" applyNumberFormat="1" applyFont="1" applyAlignment="1">
      <alignment vertical="top" wrapText="1"/>
    </xf>
    <xf numFmtId="2" fontId="32" fillId="0" borderId="0" xfId="0" applyNumberFormat="1" applyFont="1" applyAlignment="1">
      <alignment vertical="top" wrapText="1"/>
    </xf>
    <xf numFmtId="0" fontId="33" fillId="0" borderId="0" xfId="0" applyFont="1" applyAlignment="1">
      <alignment wrapText="1"/>
    </xf>
    <xf numFmtId="0" fontId="33" fillId="0" borderId="0" xfId="0" applyFont="1" applyAlignment="1">
      <alignment horizontal="right" wrapText="1"/>
    </xf>
    <xf numFmtId="2" fontId="33" fillId="0" borderId="0" xfId="0" applyNumberFormat="1" applyFont="1" applyAlignment="1">
      <alignment wrapText="1"/>
    </xf>
    <xf numFmtId="0" fontId="34" fillId="0" borderId="0" xfId="0" applyFont="1"/>
    <xf numFmtId="2" fontId="34" fillId="0" borderId="0" xfId="0" applyNumberFormat="1" applyFont="1"/>
    <xf numFmtId="2" fontId="35" fillId="0" borderId="0" xfId="0" applyNumberFormat="1" applyFont="1" applyAlignment="1">
      <alignment wrapText="1"/>
    </xf>
    <xf numFmtId="0" fontId="36" fillId="0" borderId="0" xfId="0" applyFont="1" applyAlignment="1">
      <alignment wrapText="1"/>
    </xf>
    <xf numFmtId="2" fontId="33" fillId="0" borderId="0" xfId="0" applyNumberFormat="1" applyFont="1" applyAlignment="1">
      <alignment horizontal="right" wrapText="1"/>
    </xf>
    <xf numFmtId="165" fontId="33" fillId="0" borderId="0" xfId="0" applyNumberFormat="1" applyFont="1" applyAlignment="1">
      <alignment wrapText="1"/>
    </xf>
    <xf numFmtId="0" fontId="34" fillId="0" borderId="0" xfId="0" applyFont="1" applyAlignment="1">
      <alignment horizontal="right"/>
    </xf>
    <xf numFmtId="2" fontId="34" fillId="0" borderId="0" xfId="0" applyNumberFormat="1" applyFont="1" applyAlignment="1">
      <alignment horizontal="right"/>
    </xf>
    <xf numFmtId="2" fontId="34" fillId="0" borderId="0" xfId="0" applyNumberFormat="1" applyFont="1" applyAlignment="1">
      <alignment wrapText="1"/>
    </xf>
    <xf numFmtId="0" fontId="34" fillId="0" borderId="0" xfId="0" applyFont="1" applyAlignment="1">
      <alignment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center" vertical="center"/>
    </xf>
    <xf numFmtId="0" fontId="3" fillId="9" borderId="2" xfId="0" applyFont="1" applyFill="1" applyBorder="1" applyAlignment="1">
      <alignment wrapText="1"/>
    </xf>
    <xf numFmtId="4" fontId="3" fillId="9" borderId="2" xfId="0" applyNumberFormat="1" applyFont="1" applyFill="1" applyBorder="1" applyAlignment="1">
      <alignment wrapText="1"/>
    </xf>
    <xf numFmtId="0" fontId="3" fillId="9" borderId="2" xfId="0" applyFont="1" applyFill="1" applyBorder="1" applyAlignment="1">
      <alignment horizontal="center" wrapText="1"/>
    </xf>
    <xf numFmtId="0" fontId="23" fillId="9" borderId="0" xfId="0" applyFont="1" applyFill="1" applyAlignment="1">
      <alignment horizontal="left" wrapText="1"/>
    </xf>
    <xf numFmtId="4" fontId="3" fillId="9" borderId="2" xfId="0" applyNumberFormat="1" applyFont="1" applyFill="1" applyBorder="1" applyAlignment="1">
      <alignment horizontal="right" wrapText="1"/>
    </xf>
    <xf numFmtId="0" fontId="12" fillId="9" borderId="0" xfId="0" applyFont="1" applyFill="1"/>
    <xf numFmtId="0" fontId="37" fillId="9" borderId="0" xfId="0" applyFont="1" applyFill="1" applyAlignment="1">
      <alignment horizontal="left" wrapText="1"/>
    </xf>
    <xf numFmtId="0" fontId="3" fillId="9" borderId="2" xfId="0" applyFont="1" applyFill="1" applyBorder="1" applyAlignment="1">
      <alignment horizontal="center"/>
    </xf>
    <xf numFmtId="0" fontId="21" fillId="9" borderId="0" xfId="0" applyFont="1" applyFill="1" applyAlignment="1">
      <alignment horizontal="left" wrapText="1"/>
    </xf>
    <xf numFmtId="0" fontId="3" fillId="5" borderId="2" xfId="0" applyFont="1" applyFill="1" applyBorder="1"/>
    <xf numFmtId="0" fontId="3" fillId="5" borderId="2" xfId="0" applyFont="1" applyFill="1" applyBorder="1" applyAlignment="1">
      <alignment horizontal="center" wrapText="1"/>
    </xf>
    <xf numFmtId="0" fontId="23" fillId="5" borderId="0" xfId="0" applyFont="1" applyFill="1" applyAlignment="1">
      <alignment horizontal="left" wrapText="1"/>
    </xf>
    <xf numFmtId="4" fontId="3" fillId="5" borderId="2" xfId="0" applyNumberFormat="1" applyFont="1" applyFill="1" applyBorder="1" applyAlignment="1">
      <alignment horizontal="right" wrapText="1"/>
    </xf>
    <xf numFmtId="0" fontId="3" fillId="5" borderId="2" xfId="0" applyFont="1" applyFill="1" applyBorder="1" applyAlignment="1">
      <alignment horizontal="center"/>
    </xf>
    <xf numFmtId="4" fontId="3" fillId="5" borderId="2" xfId="0" applyNumberFormat="1" applyFont="1" applyFill="1" applyBorder="1"/>
    <xf numFmtId="4" fontId="3" fillId="5" borderId="2" xfId="0" applyNumberFormat="1" applyFont="1" applyFill="1" applyBorder="1" applyAlignment="1">
      <alignment horizontal="right"/>
    </xf>
    <xf numFmtId="4" fontId="3" fillId="9" borderId="2" xfId="0" applyNumberFormat="1" applyFont="1" applyFill="1" applyBorder="1"/>
    <xf numFmtId="4" fontId="3" fillId="9" borderId="2" xfId="0" applyNumberFormat="1" applyFont="1" applyFill="1" applyBorder="1" applyAlignment="1">
      <alignment horizontal="right"/>
    </xf>
    <xf numFmtId="0" fontId="38" fillId="5" borderId="0" xfId="0" applyFont="1" applyFill="1" applyAlignment="1">
      <alignment horizontal="left" wrapText="1"/>
    </xf>
    <xf numFmtId="0" fontId="21" fillId="5" borderId="0" xfId="0" applyFont="1" applyFill="1" applyAlignment="1">
      <alignment horizontal="left" wrapText="1"/>
    </xf>
    <xf numFmtId="2" fontId="3" fillId="5" borderId="2" xfId="0" applyNumberFormat="1" applyFont="1" applyFill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" fontId="12" fillId="0" borderId="0" xfId="0" applyNumberFormat="1" applyFont="1"/>
    <xf numFmtId="4" fontId="12" fillId="0" borderId="0" xfId="0" applyNumberFormat="1" applyFont="1" applyAlignment="1">
      <alignment horizontal="right"/>
    </xf>
    <xf numFmtId="0" fontId="1" fillId="12" borderId="0" xfId="2"/>
    <xf numFmtId="4" fontId="1" fillId="12" borderId="0" xfId="2" applyNumberFormat="1"/>
    <xf numFmtId="2" fontId="1" fillId="12" borderId="0" xfId="2" applyNumberFormat="1"/>
    <xf numFmtId="0" fontId="1" fillId="11" borderId="0" xfId="1"/>
    <xf numFmtId="4" fontId="1" fillId="11" borderId="0" xfId="1" applyNumberFormat="1"/>
    <xf numFmtId="2" fontId="1" fillId="11" borderId="0" xfId="1" applyNumberFormat="1"/>
  </cellXfs>
  <cellStyles count="3">
    <cellStyle name="20% - Accent2" xfId="1" builtinId="34"/>
    <cellStyle name="40% - Accent3" xfId="2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rcularecology.com/embodied-carbon-footprint-database.html" TargetMode="External"/><Relationship Id="rId13" Type="http://schemas.openxmlformats.org/officeDocument/2006/relationships/hyperlink" Target="https://circularecology.com/embodied-carbon-footprint-database.html" TargetMode="External"/><Relationship Id="rId18" Type="http://schemas.openxmlformats.org/officeDocument/2006/relationships/hyperlink" Target="https://cdn.shopify.com/s/files/1/1785/2841/files/EPD-Partel-Breathable_Monolithic-18-07-2022-EPDIE-22-84.pdf?v=1664802202" TargetMode="External"/><Relationship Id="rId26" Type="http://schemas.openxmlformats.org/officeDocument/2006/relationships/hyperlink" Target="https://www.igbc.ie/wp-content/uploads/2020/03/EPD-Kilsaran-M4-Masonry-Mortar-27.03.2020-EPDIE-20-19.pdf" TargetMode="External"/><Relationship Id="rId3" Type="http://schemas.openxmlformats.org/officeDocument/2006/relationships/hyperlink" Target="https://worldsteel.org/wp-content/uploads/Hot-dip-galvanised-coil-Europe-Construction.pdf" TargetMode="External"/><Relationship Id="rId21" Type="http://schemas.openxmlformats.org/officeDocument/2006/relationships/hyperlink" Target="https://circularecology.com/embodied-carbon-footprint-database.html" TargetMode="External"/><Relationship Id="rId7" Type="http://schemas.openxmlformats.org/officeDocument/2006/relationships/hyperlink" Target="https://www.bauder.co.uk/getmedia/fba66c18-c541-4bb7-8304-831376ae6dc7/Environmental-Product-Declaration-Rockwool.pdf" TargetMode="External"/><Relationship Id="rId12" Type="http://schemas.openxmlformats.org/officeDocument/2006/relationships/hyperlink" Target="https://circularecology.com/embodied-carbon-footprint-database.html" TargetMode="External"/><Relationship Id="rId17" Type="http://schemas.openxmlformats.org/officeDocument/2006/relationships/hyperlink" Target="https://circularecology.com/embodied-carbon-footprint-database.html" TargetMode="External"/><Relationship Id="rId25" Type="http://schemas.openxmlformats.org/officeDocument/2006/relationships/hyperlink" Target="https://www.igbc.ie/wp-content/uploads/2024/09/EPD-Mannok-Aircrete-block-05-09-24-EPDIE-24-147.pdf" TargetMode="External"/><Relationship Id="rId2" Type="http://schemas.openxmlformats.org/officeDocument/2006/relationships/hyperlink" Target="https://www.partel.co.uk/wp-content/uploads/sites/3/2021/11/EPD-Partel-Vapour-Control-Membranes-18-07-2022-EPDIE-22-83.pdf" TargetMode="External"/><Relationship Id="rId16" Type="http://schemas.openxmlformats.org/officeDocument/2006/relationships/hyperlink" Target="https://www.bauder.co.uk/getmedia/fba66c18-c541-4bb7-8304-831376ae6dc7/Environmental-Product-Declaration-Rockwool.pdf" TargetMode="External"/><Relationship Id="rId20" Type="http://schemas.openxmlformats.org/officeDocument/2006/relationships/hyperlink" Target="https://circularecology.com/embodied-carbon-footprint-database.html" TargetMode="External"/><Relationship Id="rId1" Type="http://schemas.openxmlformats.org/officeDocument/2006/relationships/hyperlink" Target="https://www.british-gypsum.com/documents/environmental-product-declaration-epd/british-gypsum-epd-gyproc-fireline-12.5mm.pdf" TargetMode="External"/><Relationship Id="rId6" Type="http://schemas.openxmlformats.org/officeDocument/2006/relationships/hyperlink" Target="https://worldsteel.org/wp-content/uploads/Hot-dip-galvanised-coil-Europe-Construction.pdf" TargetMode="External"/><Relationship Id="rId11" Type="http://schemas.openxmlformats.org/officeDocument/2006/relationships/hyperlink" Target="https://www.partel.co.uk/wp-content/uploads/sites/3/2021/11/EPD-Partel-Vapour-Control-Membranes-18-07-2022-EPDIE-22-83.pdf" TargetMode="External"/><Relationship Id="rId24" Type="http://schemas.openxmlformats.org/officeDocument/2006/relationships/hyperlink" Target="https://circularecology.com/embodied-carbon-footprint-database.html" TargetMode="External"/><Relationship Id="rId5" Type="http://schemas.openxmlformats.org/officeDocument/2006/relationships/hyperlink" Target="https://worldsteel.org/wp-content/uploads/Hot-dip-galvanised-coil-Europe-Construction.pdf" TargetMode="External"/><Relationship Id="rId15" Type="http://schemas.openxmlformats.org/officeDocument/2006/relationships/hyperlink" Target="https://circularecology.com/embodied-carbon-footprint-database.html" TargetMode="External"/><Relationship Id="rId23" Type="http://schemas.openxmlformats.org/officeDocument/2006/relationships/hyperlink" Target="https://circularecology.com/embodied-carbon-footprint-database.html" TargetMode="External"/><Relationship Id="rId10" Type="http://schemas.openxmlformats.org/officeDocument/2006/relationships/hyperlink" Target="https://www.british-gypsum.com/documents/environmental-product-declaration-epd/british-gypsum-epd-gyproc-fireline-12.5mm.pdf" TargetMode="External"/><Relationship Id="rId19" Type="http://schemas.openxmlformats.org/officeDocument/2006/relationships/hyperlink" Target="https://circularecology.com/embodied-carbon-footprint-database.html" TargetMode="External"/><Relationship Id="rId4" Type="http://schemas.openxmlformats.org/officeDocument/2006/relationships/hyperlink" Target="https://worldsteel.org/wp-content/uploads/Hot-dip-galvanised-coil-Europe-Construction.pdf" TargetMode="External"/><Relationship Id="rId9" Type="http://schemas.openxmlformats.org/officeDocument/2006/relationships/hyperlink" Target="https://cdn.shopify.com/s/files/1/1785/2841/files/EPD-Partel-Breathable_Monolithic-18-07-2022-EPDIE-22-84.pdf?v=1664802202" TargetMode="External"/><Relationship Id="rId14" Type="http://schemas.openxmlformats.org/officeDocument/2006/relationships/hyperlink" Target="https://circularecology.com/embodied-carbon-footprint-database.html" TargetMode="External"/><Relationship Id="rId22" Type="http://schemas.openxmlformats.org/officeDocument/2006/relationships/hyperlink" Target="https://www.british-gypsum.com/documents/environmental-product-declaration-epd/british-gypsum-epd-gyproc-fireline-12.5mm.pdf" TargetMode="External"/><Relationship Id="rId27" Type="http://schemas.openxmlformats.org/officeDocument/2006/relationships/hyperlink" Target="https://circularecology.com/embodied-carbon-footprint-database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orldsteel.org/wp-content/uploads/Hot-dip-galvanised-coil-Europe-Construction.pdf" TargetMode="External"/><Relationship Id="rId13" Type="http://schemas.openxmlformats.org/officeDocument/2006/relationships/hyperlink" Target="https://www.british-gypsum.com/documents/environmental-product-declaration-epd/british-gypsum-epd-gyproc-fireline-12.5mm.pdf" TargetMode="External"/><Relationship Id="rId18" Type="http://schemas.openxmlformats.org/officeDocument/2006/relationships/hyperlink" Target="https://www.british-gypsum.com/documents/environmental-product-declaration-epd/british-gypsum-epd-gyproc-fireline-12.5mm.pdf" TargetMode="External"/><Relationship Id="rId3" Type="http://schemas.openxmlformats.org/officeDocument/2006/relationships/hyperlink" Target="https://worldsteel.org/wp-content/uploads/Hot-dip-galvanised-coil-Europe-Construction.pdf" TargetMode="External"/><Relationship Id="rId21" Type="http://schemas.openxmlformats.org/officeDocument/2006/relationships/hyperlink" Target="https://circularecology.com/embodied-carbon-footprint-database.html" TargetMode="External"/><Relationship Id="rId7" Type="http://schemas.openxmlformats.org/officeDocument/2006/relationships/hyperlink" Target="https://www.british-gypsum.com/documents/environmental-product-declaration-epd/british-gypsum-epd-gyproc-fireline-12.5mm.pdf" TargetMode="External"/><Relationship Id="rId12" Type="http://schemas.openxmlformats.org/officeDocument/2006/relationships/hyperlink" Target="https://www.british-gypsum.com/documents/environmental-product-declaration-epd/british-gypsum-epd-gyproc-fireline-12.5mm.pdf" TargetMode="External"/><Relationship Id="rId17" Type="http://schemas.openxmlformats.org/officeDocument/2006/relationships/hyperlink" Target="https://www.bauder.co.uk/getmedia/fba66c18-c541-4bb7-8304-831376ae6dc7/Environmental-Product-Declaration-Rockwool.pdf" TargetMode="External"/><Relationship Id="rId2" Type="http://schemas.openxmlformats.org/officeDocument/2006/relationships/hyperlink" Target="https://worldsteel.org/wp-content/uploads/Hot-dip-galvanised-coil-Europe-Construction.pdf" TargetMode="External"/><Relationship Id="rId16" Type="http://schemas.openxmlformats.org/officeDocument/2006/relationships/hyperlink" Target="https://www.british-gypsum.com/documents/environmental-product-declaration-epd/british-gypsum-epd-gyproc-fireline-12.5mm.pdf" TargetMode="External"/><Relationship Id="rId20" Type="http://schemas.openxmlformats.org/officeDocument/2006/relationships/hyperlink" Target="https://circularecology.com/embodied-carbon-footprint-database.html" TargetMode="External"/><Relationship Id="rId1" Type="http://schemas.openxmlformats.org/officeDocument/2006/relationships/hyperlink" Target="https://www.british-gypsum.com/documents/environmental-product-declaration-epd/british-gypsum-epd-gyproc-fireline-12.5mm.pdf" TargetMode="External"/><Relationship Id="rId6" Type="http://schemas.openxmlformats.org/officeDocument/2006/relationships/hyperlink" Target="https://www.british-gypsum.com/documents/environmental-product-declaration-epd/british-gypsum-epd-gyproc-fireline-12.5mm.pdf" TargetMode="External"/><Relationship Id="rId11" Type="http://schemas.openxmlformats.org/officeDocument/2006/relationships/hyperlink" Target="https://www.bauder.co.uk/getmedia/fba66c18-c541-4bb7-8304-831376ae6dc7/Environmental-Product-Declaration-Rockwool.pdf" TargetMode="External"/><Relationship Id="rId5" Type="http://schemas.openxmlformats.org/officeDocument/2006/relationships/hyperlink" Target="https://www.bauder.co.uk/getmedia/fba66c18-c541-4bb7-8304-831376ae6dc7/Environmental-Product-Declaration-Rockwool.pdf" TargetMode="External"/><Relationship Id="rId15" Type="http://schemas.openxmlformats.org/officeDocument/2006/relationships/hyperlink" Target="https://www.british-gypsum.com/documents/environmental-product-declaration-epd/british-gypsum-epd-gyproc-fireline-12.5mm.pdf" TargetMode="External"/><Relationship Id="rId10" Type="http://schemas.openxmlformats.org/officeDocument/2006/relationships/hyperlink" Target="https://worldsteel.org/wp-content/uploads/Hot-dip-galvanised-coil-Europe-Construction.pdf" TargetMode="External"/><Relationship Id="rId19" Type="http://schemas.openxmlformats.org/officeDocument/2006/relationships/hyperlink" Target="https://circularecology.com/embodied-carbon-footprint-database.html" TargetMode="External"/><Relationship Id="rId4" Type="http://schemas.openxmlformats.org/officeDocument/2006/relationships/hyperlink" Target="https://worldsteel.org/wp-content/uploads/Hot-dip-galvanised-coil-Europe-Construction.pdf" TargetMode="External"/><Relationship Id="rId9" Type="http://schemas.openxmlformats.org/officeDocument/2006/relationships/hyperlink" Target="https://worldsteel.org/wp-content/uploads/Hot-dip-galvanised-coil-Europe-Construction.pdf" TargetMode="External"/><Relationship Id="rId14" Type="http://schemas.openxmlformats.org/officeDocument/2006/relationships/hyperlink" Target="https://www.bauder.co.uk/getmedia/fba66c18-c541-4bb7-8304-831376ae6dc7/Environmental-Product-Declaration-Rockwool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ircularecology.com/embodied-carbon-footprint-database.html" TargetMode="External"/><Relationship Id="rId13" Type="http://schemas.openxmlformats.org/officeDocument/2006/relationships/hyperlink" Target="https://circularecology.com/embodied-carbon-footprint-database.html" TargetMode="External"/><Relationship Id="rId3" Type="http://schemas.openxmlformats.org/officeDocument/2006/relationships/hyperlink" Target="https://circularecology.com/embodied-carbon-footprint-database.html" TargetMode="External"/><Relationship Id="rId7" Type="http://schemas.openxmlformats.org/officeDocument/2006/relationships/hyperlink" Target="https://www.ancon.co.uk/downloads/7548/Leviat%20EPD%20Ancon%20Windposts%20Rev02.pdf" TargetMode="External"/><Relationship Id="rId12" Type="http://schemas.openxmlformats.org/officeDocument/2006/relationships/hyperlink" Target="https://api.environdec.com/api/v1/EPDLibrary/Files/fec4ad6c-39cb-4cd7-9845-08db7e35bd3c/Data" TargetMode="External"/><Relationship Id="rId2" Type="http://schemas.openxmlformats.org/officeDocument/2006/relationships/hyperlink" Target="https://www.igbc.ie/wp-content/uploads/2020/03/EPD-Kilsaran-M4-Masonry-Mortar-27.03.2020-EPDIE-20-19.pdf" TargetMode="External"/><Relationship Id="rId16" Type="http://schemas.openxmlformats.org/officeDocument/2006/relationships/hyperlink" Target="https://www.kiwa.com/globalassets/germany/veroffentlichte-epds/2024/010824/epd-kiwa-ee-173047-en.pdf/" TargetMode="External"/><Relationship Id="rId1" Type="http://schemas.openxmlformats.org/officeDocument/2006/relationships/hyperlink" Target="https://www.igbc.ie/wp-content/uploads/2021/07/EPD-Kingscourt-Brick-12-07-2021-EPDIE-21-51.pdf" TargetMode="External"/><Relationship Id="rId6" Type="http://schemas.openxmlformats.org/officeDocument/2006/relationships/hyperlink" Target="https://www.igbc.ie/wp-content/uploads/2020/03/EPD-Kilsaran-M4-Masonry-Mortar-27.03.2020-EPDIE-20-19.pdf" TargetMode="External"/><Relationship Id="rId11" Type="http://schemas.openxmlformats.org/officeDocument/2006/relationships/hyperlink" Target="https://www.igbc.ie/wp-content/uploads/2020/03/EPD-Kilsaran-M4-Masonry-Mortar-27.03.2020-EPDIE-20-19.pdf" TargetMode="External"/><Relationship Id="rId5" Type="http://schemas.openxmlformats.org/officeDocument/2006/relationships/hyperlink" Target="https://api.environdec.com/api/v1/EPDLibrary/Files/28ca6018-c6e4-4d26-a6f3-08da599e304a/Data" TargetMode="External"/><Relationship Id="rId15" Type="http://schemas.openxmlformats.org/officeDocument/2006/relationships/hyperlink" Target="https://www.igbc.ie/wp-content/uploads/2023/09/EPD-Castle-Paints-CP-Wood-18-09-23-EPDIE-23-117.pdf" TargetMode="External"/><Relationship Id="rId10" Type="http://schemas.openxmlformats.org/officeDocument/2006/relationships/hyperlink" Target="https://www.epd-norge.no/getfile.php/13191348-1741690594/EPDer/Byggevarer/Heltreprodukter/NEPD-6421-5682_Treated-timber--NTR-A--100--pine.pdf" TargetMode="External"/><Relationship Id="rId4" Type="http://schemas.openxmlformats.org/officeDocument/2006/relationships/hyperlink" Target="https://circularecology.com/embodied-carbon-footprint-database.html" TargetMode="External"/><Relationship Id="rId9" Type="http://schemas.openxmlformats.org/officeDocument/2006/relationships/hyperlink" Target="https://knauf.com/api/download-center/v1/assets/9b2136fe-af8a-4f09-a5f0-54dfcb8fc7f0?download=true&amp;country=gb" TargetMode="External"/><Relationship Id="rId14" Type="http://schemas.openxmlformats.org/officeDocument/2006/relationships/hyperlink" Target="https://www.epd-norge.no/getfile.php/13191348-1741690594/EPDer/Byggevarer/Heltreprodukter/NEPD-6421-5682_Treated-timber--NTR-A--100--pine.pdf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ircularecology.com/embodied-carbon-footprint-database.html" TargetMode="External"/><Relationship Id="rId18" Type="http://schemas.openxmlformats.org/officeDocument/2006/relationships/hyperlink" Target="https://www.british-gypsum.com/documents/environmental-product-declaration-epd/british-gypsum-epd-gyproc-fireline-12.5mm.pdf" TargetMode="External"/><Relationship Id="rId26" Type="http://schemas.openxmlformats.org/officeDocument/2006/relationships/hyperlink" Target="https://www.bauder.co.uk/getmedia/fba66c18-c541-4bb7-8304-831376ae6dc7/Environmental-Product-Declaration-Rockwool.pdf" TargetMode="External"/><Relationship Id="rId39" Type="http://schemas.openxmlformats.org/officeDocument/2006/relationships/hyperlink" Target="https://www.british-gypsum.com/documents/environmental-product-declaration-epd/british-gypsum-epd-gyproc-fireline-12.5mm.pdf" TargetMode="External"/><Relationship Id="rId21" Type="http://schemas.openxmlformats.org/officeDocument/2006/relationships/hyperlink" Target="https://circularecology.com/embodied-carbon-footprint-database.html" TargetMode="External"/><Relationship Id="rId34" Type="http://schemas.openxmlformats.org/officeDocument/2006/relationships/hyperlink" Target="https://worldsteel.org/wp-content/uploads/Hot-dip-galvanised-coil-Europe-Construction.pdf" TargetMode="External"/><Relationship Id="rId42" Type="http://schemas.openxmlformats.org/officeDocument/2006/relationships/hyperlink" Target="https://www.se.weber/files/se/2020-08/2020-08-28_S-P-02164_EPD_Aprobo.pdf" TargetMode="External"/><Relationship Id="rId47" Type="http://schemas.openxmlformats.org/officeDocument/2006/relationships/hyperlink" Target="https://www.bauder.co.uk/getmedia/fba66c18-c541-4bb7-8304-831376ae6dc7/Environmental-Product-Declaration-Rockwool.pdf" TargetMode="External"/><Relationship Id="rId7" Type="http://schemas.openxmlformats.org/officeDocument/2006/relationships/hyperlink" Target="https://www.british-gypsum.com/documents/environmental-product-declaration-epd/british-gypsum-epd-gyproc-fireline-12.5mm.pdf" TargetMode="External"/><Relationship Id="rId2" Type="http://schemas.openxmlformats.org/officeDocument/2006/relationships/hyperlink" Target="https://www.bauder.co.uk/getmedia/fba66c18-c541-4bb7-8304-831376ae6dc7/Environmental-Product-Declaration-Rockwool.pdf" TargetMode="External"/><Relationship Id="rId16" Type="http://schemas.openxmlformats.org/officeDocument/2006/relationships/hyperlink" Target="https://www.british-gypsum.com/documents/environmental-product-declaration-epd/british-gypsum-epd-gypframe-metal-framing-components.pdf" TargetMode="External"/><Relationship Id="rId29" Type="http://schemas.openxmlformats.org/officeDocument/2006/relationships/hyperlink" Target="https://www.british-gypsum.com/documents/environmental-product-declaration-epd/british-gypsum-epd-gyproc-fireline-12.5mm.pdf" TargetMode="External"/><Relationship Id="rId1" Type="http://schemas.openxmlformats.org/officeDocument/2006/relationships/hyperlink" Target="https://circularecology.com/embodied-carbon-footprint-database.html" TargetMode="External"/><Relationship Id="rId6" Type="http://schemas.openxmlformats.org/officeDocument/2006/relationships/hyperlink" Target="https://www.british-gypsum.com/documents/environmental-product-declaration-epd/british-gypsum-epd-gypframe-metal-framing-components.pdf" TargetMode="External"/><Relationship Id="rId11" Type="http://schemas.openxmlformats.org/officeDocument/2006/relationships/hyperlink" Target="https://www.bauder.co.uk/getmedia/fba66c18-c541-4bb7-8304-831376ae6dc7/Environmental-Product-Declaration-Rockwool.pdf" TargetMode="External"/><Relationship Id="rId24" Type="http://schemas.openxmlformats.org/officeDocument/2006/relationships/hyperlink" Target="https://worldsteel.org/wp-content/uploads/Hot-dip-galvanised-coil-Europe-Construction.pdf" TargetMode="External"/><Relationship Id="rId32" Type="http://schemas.openxmlformats.org/officeDocument/2006/relationships/hyperlink" Target="https://circularecology.com/embodied-carbon-footprint-database.html" TargetMode="External"/><Relationship Id="rId37" Type="http://schemas.openxmlformats.org/officeDocument/2006/relationships/hyperlink" Target="https://www.bauder.co.uk/getmedia/fba66c18-c541-4bb7-8304-831376ae6dc7/Environmental-Product-Declaration-Rockwool.pdf" TargetMode="External"/><Relationship Id="rId40" Type="http://schemas.openxmlformats.org/officeDocument/2006/relationships/hyperlink" Target="https://www.igbc.ie/wp-content/uploads/2025/09/EPD-Mannok-Hollowcore-200-02-09-25-EPDIE-24-210.pdf" TargetMode="External"/><Relationship Id="rId45" Type="http://schemas.openxmlformats.org/officeDocument/2006/relationships/hyperlink" Target="https://worldsteel.org/wp-content/uploads/Hot-dip-galvanised-coil-Europe-Construction.pdf" TargetMode="External"/><Relationship Id="rId5" Type="http://schemas.openxmlformats.org/officeDocument/2006/relationships/hyperlink" Target="https://www.british-gypsum.com/documents/environmental-product-declaration-epd/british-gypsum-epd-gypframe-metal-framing-components.pdf" TargetMode="External"/><Relationship Id="rId15" Type="http://schemas.openxmlformats.org/officeDocument/2006/relationships/hyperlink" Target="https://circularecology.com/embodied-carbon-footprint-database.html" TargetMode="External"/><Relationship Id="rId23" Type="http://schemas.openxmlformats.org/officeDocument/2006/relationships/hyperlink" Target="https://worldsteel.org/wp-content/uploads/Hot-dip-galvanised-coil-Europe-Construction.pdf" TargetMode="External"/><Relationship Id="rId28" Type="http://schemas.openxmlformats.org/officeDocument/2006/relationships/hyperlink" Target="https://www.british-gypsum.com/documents/environmental-product-declaration-epd/british-gypsum-epd-gypframe-metal-framing-components.pdf" TargetMode="External"/><Relationship Id="rId36" Type="http://schemas.openxmlformats.org/officeDocument/2006/relationships/hyperlink" Target="https://worldsteel.org/wp-content/uploads/Hot-dip-galvanised-coil-Europe-Construction.pdf" TargetMode="External"/><Relationship Id="rId10" Type="http://schemas.openxmlformats.org/officeDocument/2006/relationships/hyperlink" Target="https://circularecology.com/embodied-carbon-footprint-database.html" TargetMode="External"/><Relationship Id="rId19" Type="http://schemas.openxmlformats.org/officeDocument/2006/relationships/hyperlink" Target="https://www.british-gypsum.com/documents/environmental-product-declaration-epd/british-gypsum-epd-gypframe-metal-framing-components.pdf" TargetMode="External"/><Relationship Id="rId31" Type="http://schemas.openxmlformats.org/officeDocument/2006/relationships/hyperlink" Target="https://www.british-gypsum.com/documents/environmental-product-declaration-epd/british-gypsum-epd-gyproc-fireline-12.5mm.pdf" TargetMode="External"/><Relationship Id="rId44" Type="http://schemas.openxmlformats.org/officeDocument/2006/relationships/hyperlink" Target="https://worldsteel.org/wp-content/uploads/Hot-dip-galvanised-coil-Europe-Construction.pdf" TargetMode="External"/><Relationship Id="rId4" Type="http://schemas.openxmlformats.org/officeDocument/2006/relationships/hyperlink" Target="https://circularecology.com/embodied-carbon-footprint-database.html" TargetMode="External"/><Relationship Id="rId9" Type="http://schemas.openxmlformats.org/officeDocument/2006/relationships/hyperlink" Target="https://www.british-gypsum.com/documents/environmental-product-declaration-epd/british-gypsum-epd-gyproc-fireline-12.5mm.pdf" TargetMode="External"/><Relationship Id="rId14" Type="http://schemas.openxmlformats.org/officeDocument/2006/relationships/hyperlink" Target="https://circularecology.com/embodied-carbon-footprint-database.html" TargetMode="External"/><Relationship Id="rId22" Type="http://schemas.openxmlformats.org/officeDocument/2006/relationships/hyperlink" Target="https://worldsteel.org/wp-content/uploads/Hot-dip-galvanised-coil-Europe-Construction.pdf" TargetMode="External"/><Relationship Id="rId27" Type="http://schemas.openxmlformats.org/officeDocument/2006/relationships/hyperlink" Target="https://www.british-gypsum.com/documents/environmental-product-declaration-epd/british-gypsum-epd-gypframe-metal-framing-components.pdf" TargetMode="External"/><Relationship Id="rId30" Type="http://schemas.openxmlformats.org/officeDocument/2006/relationships/hyperlink" Target="https://www.british-gypsum.com/documents/environmental-product-declaration-epd/british-gypsum-epd-gypframe-metal-framing-components.pdf" TargetMode="External"/><Relationship Id="rId35" Type="http://schemas.openxmlformats.org/officeDocument/2006/relationships/hyperlink" Target="https://worldsteel.org/wp-content/uploads/Hot-dip-galvanised-coil-Europe-Construction.pdf" TargetMode="External"/><Relationship Id="rId43" Type="http://schemas.openxmlformats.org/officeDocument/2006/relationships/hyperlink" Target="https://circularecology.com/embodied-carbon-footprint-database.html" TargetMode="External"/><Relationship Id="rId48" Type="http://schemas.openxmlformats.org/officeDocument/2006/relationships/hyperlink" Target="https://www.british-gypsum.com/documents/environmental-product-declaration-epd/british-gypsum-epd-gyproc-fireline-12.5mm.pdf" TargetMode="External"/><Relationship Id="rId8" Type="http://schemas.openxmlformats.org/officeDocument/2006/relationships/hyperlink" Target="https://www.british-gypsum.com/documents/environmental-product-declaration-epd/british-gypsum-epd-gypframe-metal-framing-components.pdf" TargetMode="External"/><Relationship Id="rId3" Type="http://schemas.openxmlformats.org/officeDocument/2006/relationships/hyperlink" Target="https://circularecology.com/embodied-carbon-footprint-database.html" TargetMode="External"/><Relationship Id="rId12" Type="http://schemas.openxmlformats.org/officeDocument/2006/relationships/hyperlink" Target="https://circularecology.com/embodied-carbon-footprint-database.html" TargetMode="External"/><Relationship Id="rId17" Type="http://schemas.openxmlformats.org/officeDocument/2006/relationships/hyperlink" Target="https://www.british-gypsum.com/documents/environmental-product-declaration-epd/british-gypsum-epd-gypframe-metal-framing-components.pdf" TargetMode="External"/><Relationship Id="rId25" Type="http://schemas.openxmlformats.org/officeDocument/2006/relationships/hyperlink" Target="https://worldsteel.org/wp-content/uploads/Hot-dip-galvanised-coil-Europe-Construction.pdf" TargetMode="External"/><Relationship Id="rId33" Type="http://schemas.openxmlformats.org/officeDocument/2006/relationships/hyperlink" Target="https://worldsteel.org/wp-content/uploads/Hot-dip-galvanised-coil-Europe-Construction.pdf" TargetMode="External"/><Relationship Id="rId38" Type="http://schemas.openxmlformats.org/officeDocument/2006/relationships/hyperlink" Target="https://www.bauder.co.uk/getmedia/fba66c18-c541-4bb7-8304-831376ae6dc7/Environmental-Product-Declaration-Rockwool.pdf" TargetMode="External"/><Relationship Id="rId46" Type="http://schemas.openxmlformats.org/officeDocument/2006/relationships/hyperlink" Target="https://www.bauder.co.uk/getmedia/fba66c18-c541-4bb7-8304-831376ae6dc7/Environmental-Product-Declaration-Rockwool.pdf" TargetMode="External"/><Relationship Id="rId20" Type="http://schemas.openxmlformats.org/officeDocument/2006/relationships/hyperlink" Target="https://www.british-gypsum.com/documents/environmental-product-declaration-epd/british-gypsum-epd-gyproc-fireline-12.5mm.pdf" TargetMode="External"/><Relationship Id="rId41" Type="http://schemas.openxmlformats.org/officeDocument/2006/relationships/hyperlink" Target="https://circularecology.com/embodied-carbon-footprint-database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amtico.com/image/upload/fl_attachment/v1741015854/Documents/Technical%20Documents/Product%20Certification/amtico-spacia-acoustic-epd-environmental-product-declaration.pdf" TargetMode="External"/><Relationship Id="rId13" Type="http://schemas.openxmlformats.org/officeDocument/2006/relationships/hyperlink" Target="https://api.environdec.com/api/v1/EPDLibrary/Files/fcde9c29-4255-4a03-a5e4-08dae89fe9e4/Data" TargetMode="External"/><Relationship Id="rId18" Type="http://schemas.openxmlformats.org/officeDocument/2006/relationships/hyperlink" Target="https://www.se.weber/files/se/2020-08/2020-08-28_S-P-02164_EPD_Aprobo.pdf" TargetMode="External"/><Relationship Id="rId3" Type="http://schemas.openxmlformats.org/officeDocument/2006/relationships/hyperlink" Target="https://api.environdec.com/api/v1/EPDLibrary/Files/fec4ad6c-39cb-4cd7-9845-08db7e35bd3c/Data" TargetMode="External"/><Relationship Id="rId7" Type="http://schemas.openxmlformats.org/officeDocument/2006/relationships/hyperlink" Target="https://api.environdec.com/api/v1/EPDLibrary/Files/fcde9c29-4255-4a03-a5e4-08dae89fe9e4/Data" TargetMode="External"/><Relationship Id="rId12" Type="http://schemas.openxmlformats.org/officeDocument/2006/relationships/hyperlink" Target="https://www.epddanmark.dk/media/0rhbxti0/md-23149-en.pdf" TargetMode="External"/><Relationship Id="rId17" Type="http://schemas.openxmlformats.org/officeDocument/2006/relationships/hyperlink" Target="https://api.environdec.com/api/v1/EPDLibrary/Files/bb80d705-6a5c-4164-5a10-08dd1e8396a5/Data" TargetMode="External"/><Relationship Id="rId2" Type="http://schemas.openxmlformats.org/officeDocument/2006/relationships/hyperlink" Target="https://circularecology.com/embodied-carbon-footprint-database.html" TargetMode="External"/><Relationship Id="rId16" Type="http://schemas.openxmlformats.org/officeDocument/2006/relationships/hyperlink" Target="https://api.environdec.com/api/v1/EPDLibrary/Files/7d00274f-2810-4800-a282-08db196e9a1c/Data" TargetMode="External"/><Relationship Id="rId20" Type="http://schemas.openxmlformats.org/officeDocument/2006/relationships/hyperlink" Target="https://api.environdec.com/api/v1/EPDLibrary/Files/fec4ad6c-39cb-4cd7-9845-08db7e35bd3c/Data" TargetMode="External"/><Relationship Id="rId1" Type="http://schemas.openxmlformats.org/officeDocument/2006/relationships/hyperlink" Target="https://www.se.weber/files/se/2020-08/2020-08-28_S-P-02164_EPD_Aprobo.pdf" TargetMode="External"/><Relationship Id="rId6" Type="http://schemas.openxmlformats.org/officeDocument/2006/relationships/hyperlink" Target="https://www.epddanmark.dk/media/0rhbxti0/md-23149-en.pdf" TargetMode="External"/><Relationship Id="rId11" Type="http://schemas.openxmlformats.org/officeDocument/2006/relationships/hyperlink" Target="https://www.quick-step.co.uk/-/media/imported%20assets/flooring/6/4/e/epd%20direct%20pressure%20laminate%20floor%20covering%20unilinpdf264882.ashx?rev=b0f47bb2ebbd44ae9f8532274f2fbae9&amp;type=original&amp;filename=EPD+Laminate.pdf" TargetMode="External"/><Relationship Id="rId5" Type="http://schemas.openxmlformats.org/officeDocument/2006/relationships/hyperlink" Target="https://circularecology.com/embodied-carbon-footprint-database.html" TargetMode="External"/><Relationship Id="rId15" Type="http://schemas.openxmlformats.org/officeDocument/2006/relationships/hyperlink" Target="https://www.epddanmark.dk/media/0rhbxti0/md-23149-en.pdf" TargetMode="External"/><Relationship Id="rId10" Type="http://schemas.openxmlformats.org/officeDocument/2006/relationships/hyperlink" Target="https://api.environdec.com/api/v1/EPDLibrary/Files/fcde9c29-4255-4a03-a5e4-08dae89fe9e4/Data" TargetMode="External"/><Relationship Id="rId19" Type="http://schemas.openxmlformats.org/officeDocument/2006/relationships/hyperlink" Target="https://circularecology.com/embodied-carbon-footprint-database.html" TargetMode="External"/><Relationship Id="rId4" Type="http://schemas.openxmlformats.org/officeDocument/2006/relationships/hyperlink" Target="https://circularecology.com/embodied-carbon-footprint-database.html" TargetMode="External"/><Relationship Id="rId9" Type="http://schemas.openxmlformats.org/officeDocument/2006/relationships/hyperlink" Target="https://www.epddanmark.dk/media/0rhbxti0/md-23149-en.pdf" TargetMode="External"/><Relationship Id="rId14" Type="http://schemas.openxmlformats.org/officeDocument/2006/relationships/hyperlink" Target="https://hml-prod.imgix.net/epd-kahrs-engineered-wood-floors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zoomScale="75" zoomScaleNormal="75" workbookViewId="0">
      <pane ySplit="1" topLeftCell="A5" activePane="bottomLeft" state="frozen"/>
      <selection pane="bottomLeft" activeCell="A5" sqref="A5:D5"/>
    </sheetView>
  </sheetViews>
  <sheetFormatPr defaultColWidth="14.42578125" defaultRowHeight="15" customHeight="1" x14ac:dyDescent="0.25"/>
  <cols>
    <col min="1" max="5" width="20.7109375" customWidth="1"/>
    <col min="6" max="6" width="10.7109375" customWidth="1"/>
    <col min="7" max="7" width="40.7109375" customWidth="1"/>
    <col min="8" max="8" width="22.42578125" customWidth="1"/>
    <col min="9" max="17" width="20.7109375" customWidth="1"/>
    <col min="18" max="20" width="30.7109375" customWidth="1"/>
    <col min="21" max="21" width="25.7109375" customWidth="1"/>
    <col min="22" max="22" width="22.7109375" customWidth="1"/>
    <col min="23" max="23" width="30.7109375" customWidth="1"/>
    <col min="24" max="24" width="25.7109375" customWidth="1"/>
    <col min="25" max="25" width="30.42578125" customWidth="1"/>
    <col min="26" max="28" width="25.7109375" customWidth="1"/>
  </cols>
  <sheetData>
    <row r="1" spans="1:28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ht="39.950000000000003" customHeight="1" x14ac:dyDescent="0.25">
      <c r="A2" s="5" t="s">
        <v>28</v>
      </c>
      <c r="B2" s="5" t="s">
        <v>29</v>
      </c>
      <c r="C2" s="5" t="s">
        <v>30</v>
      </c>
      <c r="D2" s="5" t="s">
        <v>31</v>
      </c>
      <c r="E2" s="5" t="s">
        <v>444</v>
      </c>
      <c r="F2" s="5">
        <v>1</v>
      </c>
      <c r="G2" s="5" t="s">
        <v>32</v>
      </c>
      <c r="H2" s="5" t="s">
        <v>33</v>
      </c>
      <c r="I2" s="5">
        <v>2.4</v>
      </c>
      <c r="J2" s="6">
        <v>2.4</v>
      </c>
      <c r="K2" s="5">
        <v>2.5000000000000001E-2</v>
      </c>
      <c r="L2" s="5">
        <f>PRODUCT(I2:K2)</f>
        <v>0.14399999999999999</v>
      </c>
      <c r="M2" s="5">
        <v>1</v>
      </c>
      <c r="N2" s="5">
        <f>PRODUCT(L2:M2)</f>
        <v>0.14399999999999999</v>
      </c>
      <c r="O2" s="5">
        <v>800</v>
      </c>
      <c r="P2" s="6">
        <f>PRODUCT(N2:O2)</f>
        <v>115.19999999999999</v>
      </c>
      <c r="Q2" s="7">
        <f>P2/5.76</f>
        <v>20</v>
      </c>
      <c r="R2" s="8">
        <v>2.4</v>
      </c>
      <c r="S2" s="9" t="s">
        <v>34</v>
      </c>
      <c r="T2" s="10" t="s">
        <v>35</v>
      </c>
      <c r="U2" s="7">
        <f t="shared" ref="U2:U3" si="0">R2*5.76</f>
        <v>13.824</v>
      </c>
      <c r="V2" s="7">
        <f t="shared" ref="V2:V3" si="1">R2</f>
        <v>2.4</v>
      </c>
      <c r="W2" s="5" t="s">
        <v>36</v>
      </c>
      <c r="X2" s="5" t="s">
        <v>37</v>
      </c>
      <c r="Y2" s="5" t="s">
        <v>38</v>
      </c>
      <c r="Z2" s="11">
        <v>0.18</v>
      </c>
      <c r="AA2" s="11" t="s">
        <v>39</v>
      </c>
      <c r="AB2" s="12">
        <v>6</v>
      </c>
    </row>
    <row r="3" spans="1:28" ht="39.950000000000003" customHeight="1" x14ac:dyDescent="0.25">
      <c r="A3" s="5" t="s">
        <v>28</v>
      </c>
      <c r="B3" s="5" t="s">
        <v>29</v>
      </c>
      <c r="C3" s="5" t="s">
        <v>30</v>
      </c>
      <c r="D3" s="5" t="s">
        <v>31</v>
      </c>
      <c r="E3" s="5" t="s">
        <v>444</v>
      </c>
      <c r="F3" s="5">
        <v>2</v>
      </c>
      <c r="G3" s="5" t="s">
        <v>40</v>
      </c>
      <c r="H3" s="5" t="s">
        <v>40</v>
      </c>
      <c r="I3" s="5">
        <v>2.4</v>
      </c>
      <c r="J3" s="6">
        <v>2.4</v>
      </c>
      <c r="K3" s="5">
        <v>1E-3</v>
      </c>
      <c r="L3" s="5"/>
      <c r="M3" s="5">
        <v>1</v>
      </c>
      <c r="N3" s="5"/>
      <c r="O3" s="5"/>
      <c r="P3" s="6">
        <f>Q3*5.76</f>
        <v>0.69119999999999993</v>
      </c>
      <c r="Q3" s="7">
        <v>0.12</v>
      </c>
      <c r="R3" s="8">
        <v>0.372</v>
      </c>
      <c r="S3" s="9" t="s">
        <v>34</v>
      </c>
      <c r="T3" s="10" t="s">
        <v>41</v>
      </c>
      <c r="U3" s="7">
        <f t="shared" si="0"/>
        <v>2.1427199999999997</v>
      </c>
      <c r="V3" s="7">
        <f t="shared" si="1"/>
        <v>0.372</v>
      </c>
      <c r="W3" s="5" t="s">
        <v>36</v>
      </c>
      <c r="X3" s="5" t="s">
        <v>37</v>
      </c>
      <c r="Y3" s="5" t="s">
        <v>38</v>
      </c>
      <c r="Z3" s="11">
        <v>0.18</v>
      </c>
      <c r="AA3" s="11" t="s">
        <v>39</v>
      </c>
      <c r="AB3" s="12">
        <v>6</v>
      </c>
    </row>
    <row r="4" spans="1:28" ht="39.950000000000003" customHeight="1" x14ac:dyDescent="0.25">
      <c r="A4" s="5" t="s">
        <v>28</v>
      </c>
      <c r="B4" s="5" t="s">
        <v>29</v>
      </c>
      <c r="C4" s="5" t="s">
        <v>30</v>
      </c>
      <c r="D4" s="5" t="s">
        <v>31</v>
      </c>
      <c r="E4" s="5" t="s">
        <v>444</v>
      </c>
      <c r="F4" s="5">
        <v>3</v>
      </c>
      <c r="G4" s="5" t="s">
        <v>42</v>
      </c>
      <c r="H4" s="5" t="s">
        <v>43</v>
      </c>
      <c r="I4" s="5">
        <v>0.2</v>
      </c>
      <c r="J4" s="6">
        <v>2.4</v>
      </c>
      <c r="K4" s="5">
        <v>1.1999999999999999E-3</v>
      </c>
      <c r="L4" s="5">
        <f t="shared" ref="L4:L9" si="2">PRODUCT(I4:K4)</f>
        <v>5.7599999999999991E-4</v>
      </c>
      <c r="M4" s="5">
        <v>5</v>
      </c>
      <c r="N4" s="5">
        <f t="shared" ref="N4:N9" si="3">PRODUCT(L4:M4)</f>
        <v>2.8799999999999997E-3</v>
      </c>
      <c r="O4" s="5">
        <v>7800</v>
      </c>
      <c r="P4" s="6">
        <f t="shared" ref="P4:P7" si="4">PRODUCT(N4:O4)</f>
        <v>22.463999999999999</v>
      </c>
      <c r="Q4" s="7">
        <f t="shared" ref="Q4:Q9" si="5">P4/5.76</f>
        <v>3.9</v>
      </c>
      <c r="R4" s="8">
        <v>2.4900000000000002</v>
      </c>
      <c r="S4" s="9" t="s">
        <v>44</v>
      </c>
      <c r="T4" s="10" t="s">
        <v>45</v>
      </c>
      <c r="U4" s="7">
        <f t="shared" ref="U4:U7" si="6">P4*R4</f>
        <v>55.935360000000003</v>
      </c>
      <c r="V4" s="7">
        <f t="shared" ref="V4:V7" si="7">Q4*R4</f>
        <v>9.7110000000000003</v>
      </c>
      <c r="W4" s="5" t="s">
        <v>36</v>
      </c>
      <c r="X4" s="5" t="s">
        <v>37</v>
      </c>
      <c r="Y4" s="5" t="s">
        <v>38</v>
      </c>
      <c r="Z4" s="11">
        <v>0.18</v>
      </c>
      <c r="AA4" s="11" t="s">
        <v>39</v>
      </c>
      <c r="AB4" s="12">
        <v>6</v>
      </c>
    </row>
    <row r="5" spans="1:28" ht="39.950000000000003" customHeight="1" x14ac:dyDescent="0.25">
      <c r="A5" s="5" t="s">
        <v>28</v>
      </c>
      <c r="B5" s="5" t="s">
        <v>29</v>
      </c>
      <c r="C5" s="5" t="s">
        <v>30</v>
      </c>
      <c r="D5" s="5" t="s">
        <v>31</v>
      </c>
      <c r="E5" s="5" t="s">
        <v>444</v>
      </c>
      <c r="F5" s="5">
        <v>4</v>
      </c>
      <c r="G5" s="5" t="s">
        <v>46</v>
      </c>
      <c r="H5" s="5" t="s">
        <v>47</v>
      </c>
      <c r="I5" s="5">
        <v>0.2</v>
      </c>
      <c r="J5" s="6">
        <v>2.4</v>
      </c>
      <c r="K5" s="5">
        <v>1.1999999999999999E-3</v>
      </c>
      <c r="L5" s="5">
        <f t="shared" si="2"/>
        <v>5.7599999999999991E-4</v>
      </c>
      <c r="M5" s="5">
        <v>2</v>
      </c>
      <c r="N5" s="5">
        <f t="shared" si="3"/>
        <v>1.1519999999999998E-3</v>
      </c>
      <c r="O5" s="5">
        <v>7800</v>
      </c>
      <c r="P5" s="6">
        <f t="shared" si="4"/>
        <v>8.985599999999998</v>
      </c>
      <c r="Q5" s="7">
        <f t="shared" si="5"/>
        <v>1.5599999999999996</v>
      </c>
      <c r="R5" s="8">
        <v>2.4900000000000002</v>
      </c>
      <c r="S5" s="9" t="s">
        <v>44</v>
      </c>
      <c r="T5" s="10" t="s">
        <v>48</v>
      </c>
      <c r="U5" s="7">
        <f t="shared" si="6"/>
        <v>22.374143999999998</v>
      </c>
      <c r="V5" s="7">
        <f t="shared" si="7"/>
        <v>3.8843999999999994</v>
      </c>
      <c r="W5" s="5" t="s">
        <v>36</v>
      </c>
      <c r="X5" s="5" t="s">
        <v>37</v>
      </c>
      <c r="Y5" s="5" t="s">
        <v>38</v>
      </c>
      <c r="Z5" s="11">
        <v>0.18</v>
      </c>
      <c r="AA5" s="11" t="s">
        <v>39</v>
      </c>
      <c r="AB5" s="12">
        <v>6</v>
      </c>
    </row>
    <row r="6" spans="1:28" ht="39.950000000000003" customHeight="1" x14ac:dyDescent="0.25">
      <c r="A6" s="5" t="s">
        <v>28</v>
      </c>
      <c r="B6" s="5" t="s">
        <v>29</v>
      </c>
      <c r="C6" s="5" t="s">
        <v>30</v>
      </c>
      <c r="D6" s="5" t="s">
        <v>31</v>
      </c>
      <c r="E6" s="5" t="s">
        <v>444</v>
      </c>
      <c r="F6" s="5">
        <v>5</v>
      </c>
      <c r="G6" s="5" t="s">
        <v>49</v>
      </c>
      <c r="H6" s="5" t="s">
        <v>50</v>
      </c>
      <c r="I6" s="5">
        <v>0.2</v>
      </c>
      <c r="J6" s="6">
        <v>2.4</v>
      </c>
      <c r="K6" s="5">
        <v>1.1999999999999999E-3</v>
      </c>
      <c r="L6" s="5">
        <f t="shared" si="2"/>
        <v>5.7599999999999991E-4</v>
      </c>
      <c r="M6" s="5">
        <v>1</v>
      </c>
      <c r="N6" s="5">
        <f t="shared" si="3"/>
        <v>5.7599999999999991E-4</v>
      </c>
      <c r="O6" s="5">
        <v>7800</v>
      </c>
      <c r="P6" s="6">
        <f t="shared" si="4"/>
        <v>4.492799999999999</v>
      </c>
      <c r="Q6" s="7">
        <f t="shared" si="5"/>
        <v>0.7799999999999998</v>
      </c>
      <c r="R6" s="8">
        <v>2.4900000000000002</v>
      </c>
      <c r="S6" s="9" t="s">
        <v>44</v>
      </c>
      <c r="T6" s="10" t="s">
        <v>51</v>
      </c>
      <c r="U6" s="7">
        <f t="shared" si="6"/>
        <v>11.187071999999999</v>
      </c>
      <c r="V6" s="7">
        <f t="shared" si="7"/>
        <v>1.9421999999999997</v>
      </c>
      <c r="W6" s="5" t="s">
        <v>36</v>
      </c>
      <c r="X6" s="5" t="s">
        <v>37</v>
      </c>
      <c r="Y6" s="5" t="s">
        <v>38</v>
      </c>
      <c r="Z6" s="11">
        <v>0.18</v>
      </c>
      <c r="AA6" s="11" t="s">
        <v>39</v>
      </c>
      <c r="AB6" s="12">
        <v>6</v>
      </c>
    </row>
    <row r="7" spans="1:28" ht="39.950000000000003" customHeight="1" x14ac:dyDescent="0.25">
      <c r="A7" s="5" t="s">
        <v>28</v>
      </c>
      <c r="B7" s="5" t="s">
        <v>29</v>
      </c>
      <c r="C7" s="5" t="s">
        <v>30</v>
      </c>
      <c r="D7" s="5" t="s">
        <v>31</v>
      </c>
      <c r="E7" s="5" t="s">
        <v>444</v>
      </c>
      <c r="F7" s="5">
        <v>5</v>
      </c>
      <c r="G7" s="5" t="s">
        <v>52</v>
      </c>
      <c r="H7" s="5" t="s">
        <v>53</v>
      </c>
      <c r="I7" s="5">
        <v>0.03</v>
      </c>
      <c r="J7" s="6">
        <v>3.39</v>
      </c>
      <c r="K7" s="5">
        <v>1.1999999999999999E-3</v>
      </c>
      <c r="L7" s="5">
        <f t="shared" si="2"/>
        <v>1.2203999999999999E-4</v>
      </c>
      <c r="M7" s="5">
        <v>2</v>
      </c>
      <c r="N7" s="5">
        <f t="shared" si="3"/>
        <v>2.4407999999999998E-4</v>
      </c>
      <c r="O7" s="5">
        <v>7800</v>
      </c>
      <c r="P7" s="6">
        <f t="shared" si="4"/>
        <v>1.9038239999999997</v>
      </c>
      <c r="Q7" s="7">
        <f t="shared" si="5"/>
        <v>0.33052499999999996</v>
      </c>
      <c r="R7" s="8">
        <v>2.4900000000000002</v>
      </c>
      <c r="S7" s="9" t="s">
        <v>44</v>
      </c>
      <c r="T7" s="10" t="s">
        <v>54</v>
      </c>
      <c r="U7" s="7">
        <f t="shared" si="6"/>
        <v>4.74052176</v>
      </c>
      <c r="V7" s="7">
        <f t="shared" si="7"/>
        <v>0.82300724999999997</v>
      </c>
      <c r="W7" s="5" t="s">
        <v>36</v>
      </c>
      <c r="X7" s="5" t="s">
        <v>37</v>
      </c>
      <c r="Y7" s="5" t="s">
        <v>38</v>
      </c>
      <c r="Z7" s="11">
        <v>0.18</v>
      </c>
      <c r="AA7" s="11" t="s">
        <v>39</v>
      </c>
      <c r="AB7" s="12">
        <v>6</v>
      </c>
    </row>
    <row r="8" spans="1:28" ht="39.950000000000003" customHeight="1" x14ac:dyDescent="0.25">
      <c r="A8" s="5" t="s">
        <v>28</v>
      </c>
      <c r="B8" s="5" t="s">
        <v>29</v>
      </c>
      <c r="C8" s="5" t="s">
        <v>30</v>
      </c>
      <c r="D8" s="5" t="s">
        <v>31</v>
      </c>
      <c r="E8" s="5" t="s">
        <v>444</v>
      </c>
      <c r="F8" s="5">
        <v>6</v>
      </c>
      <c r="G8" s="5" t="s">
        <v>55</v>
      </c>
      <c r="H8" s="5" t="s">
        <v>56</v>
      </c>
      <c r="I8" s="5">
        <v>2.4</v>
      </c>
      <c r="J8" s="6">
        <v>2.4</v>
      </c>
      <c r="K8" s="5">
        <v>0.09</v>
      </c>
      <c r="L8" s="5">
        <f t="shared" si="2"/>
        <v>0.51839999999999997</v>
      </c>
      <c r="M8" s="5">
        <v>1</v>
      </c>
      <c r="N8" s="5">
        <f t="shared" si="3"/>
        <v>0.51839999999999997</v>
      </c>
      <c r="O8" s="5">
        <v>22</v>
      </c>
      <c r="P8" s="6">
        <f>N8*O8</f>
        <v>11.4048</v>
      </c>
      <c r="Q8" s="7">
        <f t="shared" si="5"/>
        <v>1.98</v>
      </c>
      <c r="R8" s="8">
        <v>3.42</v>
      </c>
      <c r="S8" s="9" t="s">
        <v>34</v>
      </c>
      <c r="T8" s="10" t="s">
        <v>57</v>
      </c>
      <c r="U8" s="7">
        <f>R8*5.76</f>
        <v>19.699199999999998</v>
      </c>
      <c r="V8" s="7">
        <f>R8</f>
        <v>3.42</v>
      </c>
      <c r="W8" s="5" t="s">
        <v>36</v>
      </c>
      <c r="X8" s="5" t="s">
        <v>37</v>
      </c>
      <c r="Y8" s="5" t="s">
        <v>38</v>
      </c>
      <c r="Z8" s="11">
        <v>0.18</v>
      </c>
      <c r="AA8" s="11" t="s">
        <v>39</v>
      </c>
      <c r="AB8" s="12">
        <v>6</v>
      </c>
    </row>
    <row r="9" spans="1:28" ht="39.950000000000003" customHeight="1" x14ac:dyDescent="0.25">
      <c r="A9" s="5" t="s">
        <v>28</v>
      </c>
      <c r="B9" s="5" t="s">
        <v>29</v>
      </c>
      <c r="C9" s="5" t="s">
        <v>30</v>
      </c>
      <c r="D9" s="5" t="s">
        <v>31</v>
      </c>
      <c r="E9" s="5" t="s">
        <v>444</v>
      </c>
      <c r="F9" s="5">
        <v>7</v>
      </c>
      <c r="G9" s="5" t="s">
        <v>58</v>
      </c>
      <c r="H9" s="5" t="s">
        <v>59</v>
      </c>
      <c r="I9" s="5">
        <v>2.4</v>
      </c>
      <c r="J9" s="6">
        <v>2.4</v>
      </c>
      <c r="K9" s="5">
        <v>0.08</v>
      </c>
      <c r="L9" s="5">
        <f t="shared" si="2"/>
        <v>0.46079999999999999</v>
      </c>
      <c r="M9" s="5">
        <v>1</v>
      </c>
      <c r="N9" s="5">
        <f t="shared" si="3"/>
        <v>0.46079999999999999</v>
      </c>
      <c r="O9" s="5">
        <v>32</v>
      </c>
      <c r="P9" s="6">
        <f>PRODUCT(N9:O9)</f>
        <v>14.7456</v>
      </c>
      <c r="Q9" s="7">
        <f t="shared" si="5"/>
        <v>2.56</v>
      </c>
      <c r="R9" s="8">
        <v>3.089</v>
      </c>
      <c r="S9" s="9" t="s">
        <v>44</v>
      </c>
      <c r="T9" s="10" t="s">
        <v>60</v>
      </c>
      <c r="U9" s="7">
        <f t="shared" ref="U9:U10" si="8">P9*R9</f>
        <v>45.549158399999996</v>
      </c>
      <c r="V9" s="7">
        <f t="shared" ref="V9:V10" si="9">Q9*R9</f>
        <v>7.9078400000000002</v>
      </c>
      <c r="W9" s="5" t="s">
        <v>36</v>
      </c>
      <c r="X9" s="5" t="s">
        <v>37</v>
      </c>
      <c r="Y9" s="5" t="s">
        <v>38</v>
      </c>
      <c r="Z9" s="11">
        <v>0.18</v>
      </c>
      <c r="AA9" s="11" t="s">
        <v>39</v>
      </c>
      <c r="AB9" s="12">
        <v>6</v>
      </c>
    </row>
    <row r="10" spans="1:28" ht="39.950000000000003" customHeight="1" x14ac:dyDescent="0.25">
      <c r="A10" s="5" t="s">
        <v>28</v>
      </c>
      <c r="B10" s="5" t="s">
        <v>29</v>
      </c>
      <c r="C10" s="5" t="s">
        <v>30</v>
      </c>
      <c r="D10" s="5" t="s">
        <v>31</v>
      </c>
      <c r="E10" s="5" t="s">
        <v>444</v>
      </c>
      <c r="F10" s="5">
        <v>8</v>
      </c>
      <c r="G10" s="5" t="s">
        <v>61</v>
      </c>
      <c r="H10" s="5" t="s">
        <v>62</v>
      </c>
      <c r="I10" s="5">
        <v>2.4</v>
      </c>
      <c r="J10" s="6">
        <v>2.4</v>
      </c>
      <c r="K10" s="5">
        <v>1E-3</v>
      </c>
      <c r="L10" s="5"/>
      <c r="M10" s="5">
        <v>1</v>
      </c>
      <c r="N10" s="5"/>
      <c r="O10" s="5"/>
      <c r="P10" s="6">
        <f>Q10*5.76</f>
        <v>1.44</v>
      </c>
      <c r="Q10" s="7">
        <v>0.25</v>
      </c>
      <c r="R10" s="8">
        <v>0.81100000000000005</v>
      </c>
      <c r="S10" s="9" t="s">
        <v>34</v>
      </c>
      <c r="T10" s="10" t="s">
        <v>63</v>
      </c>
      <c r="U10" s="7">
        <f t="shared" si="8"/>
        <v>1.16784</v>
      </c>
      <c r="V10" s="7">
        <f t="shared" si="9"/>
        <v>0.20275000000000001</v>
      </c>
      <c r="W10" s="5" t="s">
        <v>36</v>
      </c>
      <c r="X10" s="5" t="s">
        <v>37</v>
      </c>
      <c r="Y10" s="5" t="s">
        <v>38</v>
      </c>
      <c r="Z10" s="11">
        <v>0.18</v>
      </c>
      <c r="AA10" s="11" t="s">
        <v>39</v>
      </c>
      <c r="AB10" s="12">
        <v>6</v>
      </c>
    </row>
    <row r="11" spans="1:28" ht="39.950000000000003" customHeight="1" x14ac:dyDescent="0.25">
      <c r="A11" s="13" t="s">
        <v>28</v>
      </c>
      <c r="B11" s="13" t="s">
        <v>64</v>
      </c>
      <c r="C11" s="13" t="s">
        <v>65</v>
      </c>
      <c r="D11" s="13" t="s">
        <v>66</v>
      </c>
      <c r="E11" s="13" t="s">
        <v>444</v>
      </c>
      <c r="F11" s="13">
        <v>1</v>
      </c>
      <c r="G11" s="13" t="s">
        <v>32</v>
      </c>
      <c r="H11" s="13" t="s">
        <v>33</v>
      </c>
      <c r="I11" s="13">
        <v>2.4</v>
      </c>
      <c r="J11" s="14">
        <v>2.4</v>
      </c>
      <c r="K11" s="13">
        <v>2.5000000000000001E-2</v>
      </c>
      <c r="L11" s="13">
        <f>PRODUCT(I11:K11)</f>
        <v>0.14399999999999999</v>
      </c>
      <c r="M11" s="13">
        <v>1</v>
      </c>
      <c r="N11" s="13">
        <f>PRODUCT(L11:M11)</f>
        <v>0.14399999999999999</v>
      </c>
      <c r="O11" s="13">
        <v>800</v>
      </c>
      <c r="P11" s="14">
        <f>PRODUCT(N11:O11)</f>
        <v>115.19999999999999</v>
      </c>
      <c r="Q11" s="15">
        <f>P11/5.76</f>
        <v>20</v>
      </c>
      <c r="R11" s="16">
        <v>2.4</v>
      </c>
      <c r="S11" s="17" t="s">
        <v>34</v>
      </c>
      <c r="T11" s="18" t="s">
        <v>67</v>
      </c>
      <c r="U11" s="15">
        <f t="shared" ref="U11:U12" si="10">R11*5.76</f>
        <v>13.824</v>
      </c>
      <c r="V11" s="15">
        <f t="shared" ref="V11:V12" si="11">R11</f>
        <v>2.4</v>
      </c>
      <c r="W11" s="13" t="s">
        <v>68</v>
      </c>
      <c r="X11" s="13" t="s">
        <v>69</v>
      </c>
      <c r="Y11" s="13"/>
      <c r="Z11" s="19">
        <v>0.18</v>
      </c>
      <c r="AA11" s="19" t="s">
        <v>39</v>
      </c>
      <c r="AB11" s="20">
        <v>3</v>
      </c>
    </row>
    <row r="12" spans="1:28" ht="39.950000000000003" customHeight="1" x14ac:dyDescent="0.25">
      <c r="A12" s="13" t="s">
        <v>28</v>
      </c>
      <c r="B12" s="13" t="s">
        <v>64</v>
      </c>
      <c r="C12" s="13" t="s">
        <v>65</v>
      </c>
      <c r="D12" s="13" t="s">
        <v>66</v>
      </c>
      <c r="E12" s="13" t="s">
        <v>444</v>
      </c>
      <c r="F12" s="13">
        <v>2</v>
      </c>
      <c r="G12" s="13" t="s">
        <v>40</v>
      </c>
      <c r="H12" s="13" t="s">
        <v>40</v>
      </c>
      <c r="I12" s="13">
        <v>2.4</v>
      </c>
      <c r="J12" s="14">
        <v>2.4</v>
      </c>
      <c r="K12" s="13">
        <v>1E-3</v>
      </c>
      <c r="L12" s="13"/>
      <c r="M12" s="13">
        <v>1</v>
      </c>
      <c r="N12" s="13"/>
      <c r="O12" s="13"/>
      <c r="P12" s="14">
        <f>Q12*5.76</f>
        <v>0.69119999999999993</v>
      </c>
      <c r="Q12" s="15">
        <v>0.12</v>
      </c>
      <c r="R12" s="16">
        <v>0.372</v>
      </c>
      <c r="S12" s="17" t="s">
        <v>34</v>
      </c>
      <c r="T12" s="18" t="s">
        <v>70</v>
      </c>
      <c r="U12" s="15">
        <f t="shared" si="10"/>
        <v>2.1427199999999997</v>
      </c>
      <c r="V12" s="15">
        <f t="shared" si="11"/>
        <v>0.372</v>
      </c>
      <c r="W12" s="13" t="s">
        <v>68</v>
      </c>
      <c r="X12" s="13" t="s">
        <v>71</v>
      </c>
      <c r="Y12" s="13"/>
      <c r="Z12" s="19">
        <v>0.18</v>
      </c>
      <c r="AA12" s="19" t="s">
        <v>39</v>
      </c>
      <c r="AB12" s="20">
        <v>3</v>
      </c>
    </row>
    <row r="13" spans="1:28" ht="39.950000000000003" customHeight="1" x14ac:dyDescent="0.25">
      <c r="A13" s="13" t="s">
        <v>28</v>
      </c>
      <c r="B13" s="13" t="s">
        <v>64</v>
      </c>
      <c r="C13" s="13" t="s">
        <v>65</v>
      </c>
      <c r="D13" s="13" t="s">
        <v>66</v>
      </c>
      <c r="E13" s="13" t="s">
        <v>444</v>
      </c>
      <c r="F13" s="13">
        <v>3</v>
      </c>
      <c r="G13" s="13" t="s">
        <v>72</v>
      </c>
      <c r="H13" s="13" t="s">
        <v>73</v>
      </c>
      <c r="I13" s="13">
        <v>3.7999999999999999E-2</v>
      </c>
      <c r="J13" s="14">
        <v>2.4</v>
      </c>
      <c r="K13" s="13">
        <v>0.14000000000000001</v>
      </c>
      <c r="L13" s="13">
        <f t="shared" ref="L13:L18" si="12">PRODUCT(I13:K13)</f>
        <v>1.2768E-2</v>
      </c>
      <c r="M13" s="13">
        <v>5</v>
      </c>
      <c r="N13" s="13">
        <f t="shared" ref="N13:N18" si="13">PRODUCT(L13:M13)</f>
        <v>6.3839999999999994E-2</v>
      </c>
      <c r="O13" s="13">
        <v>510</v>
      </c>
      <c r="P13" s="15">
        <f t="shared" ref="P13:P16" si="14">PRODUCT(N13:O13)</f>
        <v>32.558399999999999</v>
      </c>
      <c r="Q13" s="15">
        <f t="shared" ref="Q13:Q18" si="15">P13/5.76</f>
        <v>5.6524999999999999</v>
      </c>
      <c r="R13" s="13">
        <v>0.26300000000000001</v>
      </c>
      <c r="S13" s="19" t="s">
        <v>44</v>
      </c>
      <c r="T13" s="21" t="s">
        <v>74</v>
      </c>
      <c r="U13" s="15">
        <f t="shared" ref="U13:U23" si="16">P13*R13</f>
        <v>8.5628592000000001</v>
      </c>
      <c r="V13" s="15">
        <f t="shared" ref="V13:V23" si="17">Q13*R13</f>
        <v>1.4866075000000001</v>
      </c>
      <c r="W13" s="13" t="s">
        <v>68</v>
      </c>
      <c r="X13" s="13" t="s">
        <v>71</v>
      </c>
      <c r="Y13" s="13"/>
      <c r="Z13" s="19">
        <v>0.18</v>
      </c>
      <c r="AA13" s="19" t="s">
        <v>39</v>
      </c>
      <c r="AB13" s="20">
        <v>3</v>
      </c>
    </row>
    <row r="14" spans="1:28" ht="39.950000000000003" customHeight="1" x14ac:dyDescent="0.25">
      <c r="A14" s="13" t="s">
        <v>28</v>
      </c>
      <c r="B14" s="13" t="s">
        <v>64</v>
      </c>
      <c r="C14" s="13" t="s">
        <v>65</v>
      </c>
      <c r="D14" s="13" t="s">
        <v>66</v>
      </c>
      <c r="E14" s="13" t="s">
        <v>444</v>
      </c>
      <c r="F14" s="13">
        <v>4</v>
      </c>
      <c r="G14" s="13" t="s">
        <v>75</v>
      </c>
      <c r="H14" s="13" t="s">
        <v>76</v>
      </c>
      <c r="I14" s="13">
        <v>3.7999999999999999E-2</v>
      </c>
      <c r="J14" s="14">
        <v>2.4</v>
      </c>
      <c r="K14" s="13">
        <v>0.14000000000000001</v>
      </c>
      <c r="L14" s="13">
        <f t="shared" si="12"/>
        <v>1.2768E-2</v>
      </c>
      <c r="M14" s="13">
        <v>2</v>
      </c>
      <c r="N14" s="13">
        <f t="shared" si="13"/>
        <v>2.5536E-2</v>
      </c>
      <c r="O14" s="13">
        <v>510</v>
      </c>
      <c r="P14" s="15">
        <f t="shared" si="14"/>
        <v>13.02336</v>
      </c>
      <c r="Q14" s="15">
        <f t="shared" si="15"/>
        <v>2.2610000000000001</v>
      </c>
      <c r="R14" s="13">
        <v>0.26300000000000001</v>
      </c>
      <c r="S14" s="19" t="s">
        <v>44</v>
      </c>
      <c r="T14" s="21" t="s">
        <v>77</v>
      </c>
      <c r="U14" s="15">
        <f t="shared" si="16"/>
        <v>3.4251436800000001</v>
      </c>
      <c r="V14" s="15">
        <f t="shared" si="17"/>
        <v>0.59464300000000003</v>
      </c>
      <c r="W14" s="13" t="s">
        <v>68</v>
      </c>
      <c r="X14" s="13" t="s">
        <v>71</v>
      </c>
      <c r="Y14" s="13"/>
      <c r="Z14" s="19">
        <v>0.18</v>
      </c>
      <c r="AA14" s="19" t="s">
        <v>39</v>
      </c>
      <c r="AB14" s="20">
        <v>3</v>
      </c>
    </row>
    <row r="15" spans="1:28" ht="39.950000000000003" customHeight="1" x14ac:dyDescent="0.25">
      <c r="A15" s="13" t="s">
        <v>28</v>
      </c>
      <c r="B15" s="13" t="s">
        <v>64</v>
      </c>
      <c r="C15" s="13" t="s">
        <v>65</v>
      </c>
      <c r="D15" s="13" t="s">
        <v>66</v>
      </c>
      <c r="E15" s="13" t="s">
        <v>444</v>
      </c>
      <c r="F15" s="13">
        <v>5</v>
      </c>
      <c r="G15" s="13" t="s">
        <v>49</v>
      </c>
      <c r="H15" s="13" t="s">
        <v>78</v>
      </c>
      <c r="I15" s="13">
        <v>3.7999999999999999E-2</v>
      </c>
      <c r="J15" s="14">
        <v>2.2000000000000002</v>
      </c>
      <c r="K15" s="13">
        <v>0.14000000000000001</v>
      </c>
      <c r="L15" s="13">
        <f t="shared" si="12"/>
        <v>1.1704000000000003E-2</v>
      </c>
      <c r="M15" s="13">
        <v>1</v>
      </c>
      <c r="N15" s="13">
        <f t="shared" si="13"/>
        <v>1.1704000000000003E-2</v>
      </c>
      <c r="O15" s="13">
        <v>510</v>
      </c>
      <c r="P15" s="15">
        <f t="shared" si="14"/>
        <v>5.9690400000000015</v>
      </c>
      <c r="Q15" s="15">
        <f t="shared" si="15"/>
        <v>1.0362916666666671</v>
      </c>
      <c r="R15" s="13">
        <v>0.26300000000000001</v>
      </c>
      <c r="S15" s="19" t="s">
        <v>44</v>
      </c>
      <c r="T15" s="21" t="s">
        <v>79</v>
      </c>
      <c r="U15" s="15">
        <f t="shared" si="16"/>
        <v>1.5698575200000005</v>
      </c>
      <c r="V15" s="15">
        <f t="shared" si="17"/>
        <v>0.27254470833333344</v>
      </c>
      <c r="W15" s="13" t="s">
        <v>68</v>
      </c>
      <c r="X15" s="13" t="s">
        <v>71</v>
      </c>
      <c r="Y15" s="13"/>
      <c r="Z15" s="19">
        <v>0.18</v>
      </c>
      <c r="AA15" s="19" t="s">
        <v>39</v>
      </c>
      <c r="AB15" s="20">
        <v>3</v>
      </c>
    </row>
    <row r="16" spans="1:28" ht="39.950000000000003" customHeight="1" x14ac:dyDescent="0.25">
      <c r="A16" s="13" t="s">
        <v>28</v>
      </c>
      <c r="B16" s="13" t="s">
        <v>64</v>
      </c>
      <c r="C16" s="13" t="s">
        <v>65</v>
      </c>
      <c r="D16" s="13" t="s">
        <v>66</v>
      </c>
      <c r="E16" s="13" t="s">
        <v>444</v>
      </c>
      <c r="F16" s="13">
        <v>6</v>
      </c>
      <c r="G16" s="13" t="s">
        <v>80</v>
      </c>
      <c r="H16" s="13" t="s">
        <v>81</v>
      </c>
      <c r="I16" s="13">
        <v>2.4</v>
      </c>
      <c r="J16" s="14">
        <v>2.4</v>
      </c>
      <c r="K16" s="13">
        <v>8.9999999999999993E-3</v>
      </c>
      <c r="L16" s="13">
        <f t="shared" si="12"/>
        <v>5.1839999999999997E-2</v>
      </c>
      <c r="M16" s="13">
        <v>1</v>
      </c>
      <c r="N16" s="13">
        <f t="shared" si="13"/>
        <v>5.1839999999999997E-2</v>
      </c>
      <c r="O16" s="13">
        <v>600</v>
      </c>
      <c r="P16" s="15">
        <f t="shared" si="14"/>
        <v>31.103999999999999</v>
      </c>
      <c r="Q16" s="15">
        <f t="shared" si="15"/>
        <v>5.4</v>
      </c>
      <c r="R16" s="13">
        <v>0.45500000000000002</v>
      </c>
      <c r="S16" s="19" t="s">
        <v>44</v>
      </c>
      <c r="T16" s="21" t="s">
        <v>82</v>
      </c>
      <c r="U16" s="15">
        <f t="shared" si="16"/>
        <v>14.15232</v>
      </c>
      <c r="V16" s="15">
        <f t="shared" si="17"/>
        <v>2.4570000000000003</v>
      </c>
      <c r="W16" s="13" t="s">
        <v>68</v>
      </c>
      <c r="X16" s="13" t="s">
        <v>71</v>
      </c>
      <c r="Y16" s="13"/>
      <c r="Z16" s="19">
        <v>0.18</v>
      </c>
      <c r="AA16" s="19" t="s">
        <v>39</v>
      </c>
      <c r="AB16" s="20">
        <v>3</v>
      </c>
    </row>
    <row r="17" spans="1:28" ht="39.950000000000003" customHeight="1" x14ac:dyDescent="0.25">
      <c r="A17" s="13" t="s">
        <v>28</v>
      </c>
      <c r="B17" s="13" t="s">
        <v>64</v>
      </c>
      <c r="C17" s="13" t="s">
        <v>65</v>
      </c>
      <c r="D17" s="13" t="s">
        <v>66</v>
      </c>
      <c r="E17" s="13" t="s">
        <v>444</v>
      </c>
      <c r="F17" s="13">
        <v>7</v>
      </c>
      <c r="G17" s="13" t="s">
        <v>83</v>
      </c>
      <c r="H17" s="13" t="s">
        <v>84</v>
      </c>
      <c r="I17" s="13">
        <v>0.6</v>
      </c>
      <c r="J17" s="14">
        <v>2.4</v>
      </c>
      <c r="K17" s="13">
        <v>0.14000000000000001</v>
      </c>
      <c r="L17" s="13">
        <f t="shared" si="12"/>
        <v>0.2016</v>
      </c>
      <c r="M17" s="13">
        <v>4</v>
      </c>
      <c r="N17" s="13">
        <f t="shared" si="13"/>
        <v>0.80640000000000001</v>
      </c>
      <c r="O17" s="13">
        <v>22</v>
      </c>
      <c r="P17" s="14">
        <f>N17*O17</f>
        <v>17.7408</v>
      </c>
      <c r="Q17" s="15">
        <f t="shared" si="15"/>
        <v>3.08</v>
      </c>
      <c r="R17" s="16">
        <v>3.42</v>
      </c>
      <c r="S17" s="17" t="s">
        <v>34</v>
      </c>
      <c r="T17" s="18" t="s">
        <v>85</v>
      </c>
      <c r="U17" s="15">
        <f t="shared" si="16"/>
        <v>60.673535999999999</v>
      </c>
      <c r="V17" s="15">
        <f t="shared" si="17"/>
        <v>10.5336</v>
      </c>
      <c r="W17" s="13" t="s">
        <v>68</v>
      </c>
      <c r="X17" s="13" t="s">
        <v>71</v>
      </c>
      <c r="Y17" s="13"/>
      <c r="Z17" s="19">
        <v>0.18</v>
      </c>
      <c r="AA17" s="19" t="s">
        <v>39</v>
      </c>
      <c r="AB17" s="20">
        <v>3</v>
      </c>
    </row>
    <row r="18" spans="1:28" ht="39.950000000000003" customHeight="1" x14ac:dyDescent="0.25">
      <c r="A18" s="13" t="s">
        <v>28</v>
      </c>
      <c r="B18" s="13" t="s">
        <v>64</v>
      </c>
      <c r="C18" s="13" t="s">
        <v>65</v>
      </c>
      <c r="D18" s="13" t="s">
        <v>66</v>
      </c>
      <c r="E18" s="13" t="s">
        <v>444</v>
      </c>
      <c r="F18" s="13">
        <v>8</v>
      </c>
      <c r="G18" s="13" t="s">
        <v>58</v>
      </c>
      <c r="H18" s="13" t="s">
        <v>86</v>
      </c>
      <c r="I18" s="13">
        <v>0.03</v>
      </c>
      <c r="J18" s="14">
        <v>2.4</v>
      </c>
      <c r="K18" s="13">
        <v>2.4</v>
      </c>
      <c r="L18" s="13">
        <f t="shared" si="12"/>
        <v>0.17279999999999998</v>
      </c>
      <c r="M18" s="13">
        <v>1</v>
      </c>
      <c r="N18" s="13">
        <f t="shared" si="13"/>
        <v>0.17279999999999998</v>
      </c>
      <c r="O18" s="13">
        <v>32</v>
      </c>
      <c r="P18" s="14">
        <f>PRODUCT(N18:O18)</f>
        <v>5.5295999999999994</v>
      </c>
      <c r="Q18" s="15">
        <f t="shared" si="15"/>
        <v>0.96</v>
      </c>
      <c r="R18" s="16">
        <v>3.089</v>
      </c>
      <c r="S18" s="17" t="s">
        <v>44</v>
      </c>
      <c r="T18" s="18" t="s">
        <v>87</v>
      </c>
      <c r="U18" s="15">
        <f t="shared" si="16"/>
        <v>17.080934399999997</v>
      </c>
      <c r="V18" s="15">
        <f t="shared" si="17"/>
        <v>2.9654400000000001</v>
      </c>
      <c r="W18" s="13" t="s">
        <v>68</v>
      </c>
      <c r="X18" s="13" t="s">
        <v>71</v>
      </c>
      <c r="Y18" s="13"/>
      <c r="Z18" s="19">
        <v>0.18</v>
      </c>
      <c r="AA18" s="19" t="s">
        <v>39</v>
      </c>
      <c r="AB18" s="20">
        <v>3</v>
      </c>
    </row>
    <row r="19" spans="1:28" ht="39.950000000000003" customHeight="1" x14ac:dyDescent="0.25">
      <c r="A19" s="13" t="s">
        <v>28</v>
      </c>
      <c r="B19" s="13" t="s">
        <v>64</v>
      </c>
      <c r="C19" s="13" t="s">
        <v>65</v>
      </c>
      <c r="D19" s="13" t="s">
        <v>66</v>
      </c>
      <c r="E19" s="13" t="s">
        <v>444</v>
      </c>
      <c r="F19" s="13">
        <v>9</v>
      </c>
      <c r="G19" s="13" t="s">
        <v>61</v>
      </c>
      <c r="H19" s="13" t="s">
        <v>62</v>
      </c>
      <c r="I19" s="13">
        <v>2.4</v>
      </c>
      <c r="J19" s="14">
        <v>2.4</v>
      </c>
      <c r="K19" s="13">
        <v>1E-3</v>
      </c>
      <c r="L19" s="13"/>
      <c r="M19" s="13">
        <v>1</v>
      </c>
      <c r="N19" s="13"/>
      <c r="O19" s="13"/>
      <c r="P19" s="14">
        <f>Q19*5.76</f>
        <v>1.44</v>
      </c>
      <c r="Q19" s="15">
        <v>0.25</v>
      </c>
      <c r="R19" s="16">
        <v>0.81100000000000005</v>
      </c>
      <c r="S19" s="17" t="s">
        <v>34</v>
      </c>
      <c r="T19" s="18" t="s">
        <v>88</v>
      </c>
      <c r="U19" s="15">
        <f t="shared" si="16"/>
        <v>1.16784</v>
      </c>
      <c r="V19" s="15">
        <f t="shared" si="17"/>
        <v>0.20275000000000001</v>
      </c>
      <c r="W19" s="13" t="s">
        <v>68</v>
      </c>
      <c r="X19" s="13" t="s">
        <v>71</v>
      </c>
      <c r="Y19" s="13"/>
      <c r="Z19" s="19">
        <v>0.18</v>
      </c>
      <c r="AA19" s="19" t="s">
        <v>39</v>
      </c>
      <c r="AB19" s="20">
        <v>3</v>
      </c>
    </row>
    <row r="20" spans="1:28" ht="39.950000000000003" customHeight="1" x14ac:dyDescent="0.25">
      <c r="A20" s="22" t="s">
        <v>28</v>
      </c>
      <c r="B20" s="22" t="s">
        <v>89</v>
      </c>
      <c r="C20" s="22" t="s">
        <v>90</v>
      </c>
      <c r="D20" s="22" t="s">
        <v>91</v>
      </c>
      <c r="E20" s="22" t="s">
        <v>444</v>
      </c>
      <c r="F20" s="22">
        <v>1</v>
      </c>
      <c r="G20" s="22" t="s">
        <v>92</v>
      </c>
      <c r="H20" s="22" t="s">
        <v>93</v>
      </c>
      <c r="I20" s="23">
        <v>2.4</v>
      </c>
      <c r="J20" s="24">
        <v>2.4</v>
      </c>
      <c r="K20" s="23">
        <v>0.15</v>
      </c>
      <c r="L20" s="22"/>
      <c r="M20" s="22"/>
      <c r="N20" s="25">
        <f t="shared" ref="N20:N21" si="18">I20*J20*K20</f>
        <v>0.86399999999999999</v>
      </c>
      <c r="O20" s="26">
        <v>25</v>
      </c>
      <c r="P20" s="27">
        <f t="shared" ref="P20:P21" si="19">N20*O20</f>
        <v>21.6</v>
      </c>
      <c r="Q20" s="27">
        <f t="shared" ref="Q20:Q29" si="20">P20/5.76</f>
        <v>3.7500000000000004</v>
      </c>
      <c r="R20" s="22">
        <v>3.69</v>
      </c>
      <c r="S20" s="23" t="s">
        <v>44</v>
      </c>
      <c r="T20" s="28" t="s">
        <v>94</v>
      </c>
      <c r="U20" s="29">
        <f t="shared" si="16"/>
        <v>79.704000000000008</v>
      </c>
      <c r="V20" s="29">
        <f t="shared" si="17"/>
        <v>13.837500000000002</v>
      </c>
      <c r="W20" s="22" t="s">
        <v>95</v>
      </c>
      <c r="X20" s="22" t="s">
        <v>96</v>
      </c>
      <c r="Y20" s="22" t="s">
        <v>97</v>
      </c>
      <c r="Z20" s="23">
        <v>0.18</v>
      </c>
      <c r="AA20" s="23" t="s">
        <v>39</v>
      </c>
      <c r="AB20" s="30">
        <v>5</v>
      </c>
    </row>
    <row r="21" spans="1:28" ht="39.950000000000003" customHeight="1" x14ac:dyDescent="0.25">
      <c r="A21" s="22" t="s">
        <v>28</v>
      </c>
      <c r="B21" s="22" t="s">
        <v>89</v>
      </c>
      <c r="C21" s="22" t="s">
        <v>90</v>
      </c>
      <c r="D21" s="22" t="s">
        <v>91</v>
      </c>
      <c r="E21" s="22" t="s">
        <v>444</v>
      </c>
      <c r="F21" s="22">
        <v>2</v>
      </c>
      <c r="G21" s="22" t="s">
        <v>98</v>
      </c>
      <c r="H21" s="22" t="s">
        <v>99</v>
      </c>
      <c r="I21" s="23">
        <v>2.4</v>
      </c>
      <c r="J21" s="24">
        <v>2.4</v>
      </c>
      <c r="K21" s="23">
        <v>0.15</v>
      </c>
      <c r="L21" s="22"/>
      <c r="M21" s="22"/>
      <c r="N21" s="25">
        <f t="shared" si="18"/>
        <v>0.86399999999999999</v>
      </c>
      <c r="O21" s="23">
        <v>2400</v>
      </c>
      <c r="P21" s="27">
        <f t="shared" si="19"/>
        <v>2073.6</v>
      </c>
      <c r="Q21" s="27">
        <f t="shared" si="20"/>
        <v>360</v>
      </c>
      <c r="R21" s="22">
        <v>0.10299999999999999</v>
      </c>
      <c r="S21" s="23" t="s">
        <v>44</v>
      </c>
      <c r="T21" s="28" t="s">
        <v>100</v>
      </c>
      <c r="U21" s="29">
        <f t="shared" si="16"/>
        <v>213.58079999999998</v>
      </c>
      <c r="V21" s="29">
        <f t="shared" si="17"/>
        <v>37.08</v>
      </c>
      <c r="W21" s="22" t="s">
        <v>95</v>
      </c>
      <c r="X21" s="22" t="s">
        <v>96</v>
      </c>
      <c r="Y21" s="22" t="s">
        <v>97</v>
      </c>
      <c r="Z21" s="23">
        <v>0.18</v>
      </c>
      <c r="AA21" s="23" t="s">
        <v>39</v>
      </c>
      <c r="AB21" s="30">
        <v>5</v>
      </c>
    </row>
    <row r="22" spans="1:28" ht="39.950000000000003" customHeight="1" x14ac:dyDescent="0.25">
      <c r="A22" s="22" t="s">
        <v>28</v>
      </c>
      <c r="B22" s="22" t="s">
        <v>89</v>
      </c>
      <c r="C22" s="22" t="s">
        <v>90</v>
      </c>
      <c r="D22" s="22" t="s">
        <v>91</v>
      </c>
      <c r="E22" s="22" t="s">
        <v>444</v>
      </c>
      <c r="F22" s="22">
        <v>3</v>
      </c>
      <c r="G22" s="22" t="s">
        <v>101</v>
      </c>
      <c r="H22" s="22" t="s">
        <v>102</v>
      </c>
      <c r="I22" s="22"/>
      <c r="J22" s="31"/>
      <c r="K22" s="22"/>
      <c r="L22" s="22"/>
      <c r="M22" s="22"/>
      <c r="N22" s="25"/>
      <c r="O22" s="32"/>
      <c r="P22" s="27">
        <v>41.47</v>
      </c>
      <c r="Q22" s="27">
        <f t="shared" si="20"/>
        <v>7.1996527777777777</v>
      </c>
      <c r="R22" s="22">
        <v>1.72</v>
      </c>
      <c r="S22" s="23" t="s">
        <v>44</v>
      </c>
      <c r="T22" s="28" t="s">
        <v>103</v>
      </c>
      <c r="U22" s="29">
        <f t="shared" si="16"/>
        <v>71.328400000000002</v>
      </c>
      <c r="V22" s="29">
        <f t="shared" si="17"/>
        <v>12.383402777777777</v>
      </c>
      <c r="W22" s="22" t="s">
        <v>95</v>
      </c>
      <c r="X22" s="22" t="s">
        <v>96</v>
      </c>
      <c r="Y22" s="22" t="s">
        <v>97</v>
      </c>
      <c r="Z22" s="23">
        <v>0.18</v>
      </c>
      <c r="AA22" s="23" t="s">
        <v>39</v>
      </c>
      <c r="AB22" s="30">
        <v>5</v>
      </c>
    </row>
    <row r="23" spans="1:28" ht="39.950000000000003" customHeight="1" x14ac:dyDescent="0.25">
      <c r="A23" s="22" t="s">
        <v>28</v>
      </c>
      <c r="B23" s="22" t="s">
        <v>89</v>
      </c>
      <c r="C23" s="22" t="s">
        <v>90</v>
      </c>
      <c r="D23" s="22" t="s">
        <v>91</v>
      </c>
      <c r="E23" s="22" t="s">
        <v>444</v>
      </c>
      <c r="F23" s="22">
        <v>4</v>
      </c>
      <c r="G23" s="22" t="s">
        <v>104</v>
      </c>
      <c r="H23" s="22" t="s">
        <v>105</v>
      </c>
      <c r="I23" s="22"/>
      <c r="J23" s="31"/>
      <c r="K23" s="22"/>
      <c r="L23" s="22"/>
      <c r="M23" s="22"/>
      <c r="N23" s="25"/>
      <c r="O23" s="32"/>
      <c r="P23" s="27">
        <v>5</v>
      </c>
      <c r="Q23" s="27">
        <f t="shared" si="20"/>
        <v>0.86805555555555558</v>
      </c>
      <c r="R23" s="22">
        <v>1.85</v>
      </c>
      <c r="S23" s="23" t="s">
        <v>44</v>
      </c>
      <c r="T23" s="23"/>
      <c r="U23" s="29">
        <f t="shared" si="16"/>
        <v>9.25</v>
      </c>
      <c r="V23" s="29">
        <f t="shared" si="17"/>
        <v>1.6059027777777779</v>
      </c>
      <c r="W23" s="22" t="s">
        <v>95</v>
      </c>
      <c r="X23" s="22" t="s">
        <v>96</v>
      </c>
      <c r="Y23" s="22" t="s">
        <v>97</v>
      </c>
      <c r="Z23" s="23">
        <v>0.18</v>
      </c>
      <c r="AA23" s="23" t="s">
        <v>39</v>
      </c>
      <c r="AB23" s="30">
        <v>5</v>
      </c>
    </row>
    <row r="24" spans="1:28" ht="39.950000000000003" customHeight="1" x14ac:dyDescent="0.25">
      <c r="A24" s="33" t="s">
        <v>28</v>
      </c>
      <c r="B24" s="33" t="s">
        <v>106</v>
      </c>
      <c r="C24" s="33" t="s">
        <v>107</v>
      </c>
      <c r="D24" s="33" t="s">
        <v>108</v>
      </c>
      <c r="E24" s="33" t="s">
        <v>444</v>
      </c>
      <c r="F24" s="33">
        <v>1</v>
      </c>
      <c r="G24" s="33" t="s">
        <v>109</v>
      </c>
      <c r="H24" s="33" t="s">
        <v>110</v>
      </c>
      <c r="I24" s="33">
        <v>2.4</v>
      </c>
      <c r="J24" s="34">
        <v>2.4</v>
      </c>
      <c r="K24" s="33">
        <v>2.5000000000000001E-2</v>
      </c>
      <c r="L24" s="33">
        <f t="shared" ref="L24:L29" si="21">PRODUCT(I24:K24)</f>
        <v>0.14399999999999999</v>
      </c>
      <c r="M24" s="33">
        <v>1</v>
      </c>
      <c r="N24" s="35">
        <f t="shared" ref="N24:N29" si="22">PRODUCT(L24:M24)</f>
        <v>0.14399999999999999</v>
      </c>
      <c r="O24" s="35">
        <v>800</v>
      </c>
      <c r="P24" s="34">
        <f t="shared" ref="P24:P28" si="23">N24*O24</f>
        <v>115.19999999999999</v>
      </c>
      <c r="Q24" s="34">
        <f t="shared" si="20"/>
        <v>20</v>
      </c>
      <c r="R24" s="36">
        <v>2.4</v>
      </c>
      <c r="S24" s="37" t="s">
        <v>34</v>
      </c>
      <c r="T24" s="38" t="s">
        <v>111</v>
      </c>
      <c r="U24" s="39">
        <f>R24*5.76</f>
        <v>13.824</v>
      </c>
      <c r="V24" s="39">
        <f>U24/5.76</f>
        <v>2.4</v>
      </c>
      <c r="W24" s="33" t="s">
        <v>112</v>
      </c>
      <c r="X24" s="33" t="s">
        <v>37</v>
      </c>
      <c r="Y24" s="33" t="s">
        <v>38</v>
      </c>
      <c r="Z24" s="35">
        <v>0.18</v>
      </c>
      <c r="AA24" s="35" t="s">
        <v>39</v>
      </c>
      <c r="AB24" s="40"/>
    </row>
    <row r="25" spans="1:28" ht="39.950000000000003" customHeight="1" x14ac:dyDescent="0.25">
      <c r="A25" s="33" t="s">
        <v>28</v>
      </c>
      <c r="B25" s="33" t="s">
        <v>106</v>
      </c>
      <c r="C25" s="33" t="s">
        <v>107</v>
      </c>
      <c r="D25" s="33" t="s">
        <v>108</v>
      </c>
      <c r="E25" s="33" t="s">
        <v>444</v>
      </c>
      <c r="F25" s="33">
        <v>2</v>
      </c>
      <c r="G25" s="33" t="s">
        <v>113</v>
      </c>
      <c r="H25" s="33" t="s">
        <v>114</v>
      </c>
      <c r="I25" s="33">
        <v>2.4</v>
      </c>
      <c r="J25" s="36">
        <v>2.5000000000000001E-2</v>
      </c>
      <c r="K25" s="33">
        <v>0.05</v>
      </c>
      <c r="L25" s="33">
        <f t="shared" si="21"/>
        <v>3.0000000000000001E-3</v>
      </c>
      <c r="M25" s="33">
        <v>5</v>
      </c>
      <c r="N25" s="35">
        <f t="shared" si="22"/>
        <v>1.4999999999999999E-2</v>
      </c>
      <c r="O25" s="35">
        <v>510</v>
      </c>
      <c r="P25" s="34">
        <f t="shared" si="23"/>
        <v>7.6499999999999995</v>
      </c>
      <c r="Q25" s="34">
        <f t="shared" si="20"/>
        <v>1.328125</v>
      </c>
      <c r="R25" s="41">
        <v>0.26300000000000001</v>
      </c>
      <c r="S25" s="42" t="s">
        <v>44</v>
      </c>
      <c r="T25" s="43" t="s">
        <v>115</v>
      </c>
      <c r="U25" s="34">
        <f t="shared" ref="U25:U27" si="24">P25*R25</f>
        <v>2.0119500000000001</v>
      </c>
      <c r="V25" s="39">
        <f t="shared" ref="V25:V29" si="25">Q25*R25</f>
        <v>0.34929687500000001</v>
      </c>
      <c r="W25" s="33" t="s">
        <v>112</v>
      </c>
      <c r="X25" s="33" t="s">
        <v>37</v>
      </c>
      <c r="Y25" s="33" t="s">
        <v>38</v>
      </c>
      <c r="Z25" s="35">
        <v>0.18</v>
      </c>
      <c r="AA25" s="35" t="s">
        <v>39</v>
      </c>
      <c r="AB25" s="40"/>
    </row>
    <row r="26" spans="1:28" ht="39.950000000000003" customHeight="1" x14ac:dyDescent="0.25">
      <c r="A26" s="33" t="s">
        <v>28</v>
      </c>
      <c r="B26" s="33" t="s">
        <v>106</v>
      </c>
      <c r="C26" s="33" t="s">
        <v>107</v>
      </c>
      <c r="D26" s="33" t="s">
        <v>108</v>
      </c>
      <c r="E26" s="33" t="s">
        <v>444</v>
      </c>
      <c r="F26" s="33">
        <v>3</v>
      </c>
      <c r="G26" s="33" t="s">
        <v>116</v>
      </c>
      <c r="H26" s="33" t="s">
        <v>117</v>
      </c>
      <c r="I26" s="33">
        <v>2.4</v>
      </c>
      <c r="J26" s="34">
        <v>2.4</v>
      </c>
      <c r="K26" s="33">
        <v>5.0000000000000001E-3</v>
      </c>
      <c r="L26" s="33">
        <f t="shared" si="21"/>
        <v>2.8799999999999999E-2</v>
      </c>
      <c r="M26" s="33">
        <v>1</v>
      </c>
      <c r="N26" s="35">
        <f t="shared" si="22"/>
        <v>2.8799999999999999E-2</v>
      </c>
      <c r="O26" s="35">
        <v>800</v>
      </c>
      <c r="P26" s="34">
        <f t="shared" si="23"/>
        <v>23.04</v>
      </c>
      <c r="Q26" s="34">
        <f t="shared" si="20"/>
        <v>4</v>
      </c>
      <c r="R26" s="41">
        <v>0.16400000000000001</v>
      </c>
      <c r="S26" s="42" t="s">
        <v>44</v>
      </c>
      <c r="T26" s="43" t="s">
        <v>118</v>
      </c>
      <c r="U26" s="34">
        <f t="shared" si="24"/>
        <v>3.7785600000000001</v>
      </c>
      <c r="V26" s="39">
        <f t="shared" si="25"/>
        <v>0.65600000000000003</v>
      </c>
      <c r="W26" s="33" t="s">
        <v>112</v>
      </c>
      <c r="X26" s="33" t="s">
        <v>37</v>
      </c>
      <c r="Y26" s="33" t="s">
        <v>38</v>
      </c>
      <c r="Z26" s="35">
        <v>0.18</v>
      </c>
      <c r="AA26" s="35" t="s">
        <v>39</v>
      </c>
      <c r="AB26" s="40"/>
    </row>
    <row r="27" spans="1:28" ht="39.950000000000003" customHeight="1" x14ac:dyDescent="0.25">
      <c r="A27" s="33" t="s">
        <v>28</v>
      </c>
      <c r="B27" s="33" t="s">
        <v>106</v>
      </c>
      <c r="C27" s="33" t="s">
        <v>107</v>
      </c>
      <c r="D27" s="33" t="s">
        <v>108</v>
      </c>
      <c r="E27" s="33" t="s">
        <v>444</v>
      </c>
      <c r="F27" s="33">
        <v>4</v>
      </c>
      <c r="G27" s="33" t="s">
        <v>119</v>
      </c>
      <c r="H27" s="33" t="s">
        <v>120</v>
      </c>
      <c r="I27" s="33">
        <v>2.4</v>
      </c>
      <c r="J27" s="34">
        <v>2.4</v>
      </c>
      <c r="K27" s="33">
        <v>0.14000000000000001</v>
      </c>
      <c r="L27" s="33">
        <f t="shared" si="21"/>
        <v>0.80640000000000001</v>
      </c>
      <c r="M27" s="33">
        <v>0.85</v>
      </c>
      <c r="N27" s="35">
        <f t="shared" si="22"/>
        <v>0.68543999999999994</v>
      </c>
      <c r="O27" s="35">
        <v>510</v>
      </c>
      <c r="P27" s="34">
        <f t="shared" si="23"/>
        <v>349.57439999999997</v>
      </c>
      <c r="Q27" s="34">
        <f t="shared" si="20"/>
        <v>60.69</v>
      </c>
      <c r="R27" s="41">
        <v>0.32600000000000001</v>
      </c>
      <c r="S27" s="42" t="s">
        <v>44</v>
      </c>
      <c r="T27" s="44" t="s">
        <v>121</v>
      </c>
      <c r="U27" s="34">
        <f t="shared" si="24"/>
        <v>113.96125439999999</v>
      </c>
      <c r="V27" s="39">
        <f t="shared" si="25"/>
        <v>19.784939999999999</v>
      </c>
      <c r="W27" s="33" t="s">
        <v>112</v>
      </c>
      <c r="X27" s="33" t="s">
        <v>37</v>
      </c>
      <c r="Y27" s="33" t="s">
        <v>38</v>
      </c>
      <c r="Z27" s="35">
        <v>0.18</v>
      </c>
      <c r="AA27" s="35" t="s">
        <v>39</v>
      </c>
      <c r="AB27" s="40"/>
    </row>
    <row r="28" spans="1:28" ht="39.950000000000003" customHeight="1" x14ac:dyDescent="0.25">
      <c r="A28" s="33" t="s">
        <v>28</v>
      </c>
      <c r="B28" s="33" t="s">
        <v>106</v>
      </c>
      <c r="C28" s="33" t="s">
        <v>107</v>
      </c>
      <c r="D28" s="33" t="s">
        <v>108</v>
      </c>
      <c r="E28" s="33" t="s">
        <v>444</v>
      </c>
      <c r="F28" s="33">
        <v>5</v>
      </c>
      <c r="G28" s="33" t="s">
        <v>122</v>
      </c>
      <c r="H28" s="33" t="s">
        <v>123</v>
      </c>
      <c r="I28" s="33">
        <v>2.4</v>
      </c>
      <c r="J28" s="34">
        <v>2.4</v>
      </c>
      <c r="K28" s="33">
        <v>0.14000000000000001</v>
      </c>
      <c r="L28" s="33">
        <f t="shared" si="21"/>
        <v>0.80640000000000001</v>
      </c>
      <c r="M28" s="33">
        <v>0.15</v>
      </c>
      <c r="N28" s="35">
        <f t="shared" si="22"/>
        <v>0.12096</v>
      </c>
      <c r="O28" s="45">
        <v>2100</v>
      </c>
      <c r="P28" s="34">
        <f t="shared" si="23"/>
        <v>254.01599999999999</v>
      </c>
      <c r="Q28" s="34">
        <f t="shared" si="20"/>
        <v>44.1</v>
      </c>
      <c r="R28" s="33">
        <v>0.13600000000000001</v>
      </c>
      <c r="S28" s="35" t="s">
        <v>44</v>
      </c>
      <c r="T28" s="46" t="s">
        <v>124</v>
      </c>
      <c r="U28" s="34">
        <f>PRODUCT(Q28,R28)</f>
        <v>5.9976000000000003</v>
      </c>
      <c r="V28" s="39">
        <f t="shared" si="25"/>
        <v>5.9976000000000003</v>
      </c>
      <c r="W28" s="33" t="s">
        <v>112</v>
      </c>
      <c r="X28" s="33" t="s">
        <v>37</v>
      </c>
      <c r="Y28" s="33" t="s">
        <v>38</v>
      </c>
      <c r="Z28" s="35">
        <v>0.18</v>
      </c>
      <c r="AA28" s="35" t="s">
        <v>39</v>
      </c>
      <c r="AB28" s="40"/>
    </row>
    <row r="29" spans="1:28" ht="39.950000000000003" customHeight="1" x14ac:dyDescent="0.25">
      <c r="A29" s="33" t="s">
        <v>28</v>
      </c>
      <c r="B29" s="33" t="s">
        <v>106</v>
      </c>
      <c r="C29" s="33" t="s">
        <v>107</v>
      </c>
      <c r="D29" s="33" t="s">
        <v>108</v>
      </c>
      <c r="E29" s="33" t="s">
        <v>444</v>
      </c>
      <c r="F29" s="33">
        <v>5</v>
      </c>
      <c r="G29" s="33" t="s">
        <v>125</v>
      </c>
      <c r="H29" s="33" t="s">
        <v>126</v>
      </c>
      <c r="I29" s="33">
        <v>2.4</v>
      </c>
      <c r="J29" s="34">
        <v>2.4</v>
      </c>
      <c r="K29" s="33">
        <v>0.1</v>
      </c>
      <c r="L29" s="33">
        <f t="shared" si="21"/>
        <v>0.57599999999999996</v>
      </c>
      <c r="M29" s="33">
        <v>1</v>
      </c>
      <c r="N29" s="33">
        <f t="shared" si="22"/>
        <v>0.57599999999999996</v>
      </c>
      <c r="O29" s="33">
        <v>32</v>
      </c>
      <c r="P29" s="34">
        <f>PRODUCT(N29:O29)</f>
        <v>18.431999999999999</v>
      </c>
      <c r="Q29" s="39">
        <f t="shared" si="20"/>
        <v>3.1999999999999997</v>
      </c>
      <c r="R29" s="36">
        <v>3.089</v>
      </c>
      <c r="S29" s="37" t="s">
        <v>44</v>
      </c>
      <c r="T29" s="38" t="s">
        <v>127</v>
      </c>
      <c r="U29" s="39">
        <f>P29*R29</f>
        <v>56.936447999999999</v>
      </c>
      <c r="V29" s="39">
        <f t="shared" si="25"/>
        <v>9.8847999999999985</v>
      </c>
      <c r="W29" s="33" t="s">
        <v>68</v>
      </c>
      <c r="X29" s="33" t="s">
        <v>71</v>
      </c>
      <c r="Y29" s="33"/>
      <c r="Z29" s="35">
        <v>0.18</v>
      </c>
      <c r="AA29" s="35" t="s">
        <v>39</v>
      </c>
      <c r="AB29" s="40">
        <v>3</v>
      </c>
    </row>
    <row r="30" spans="1:28" ht="15.75" customHeight="1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8"/>
      <c r="K30" s="47"/>
      <c r="L30" s="47"/>
      <c r="M30" s="47"/>
      <c r="N30" s="47"/>
      <c r="O30" s="47"/>
      <c r="P30" s="47"/>
      <c r="Q30" s="47"/>
      <c r="R30" s="47"/>
      <c r="S30" s="49"/>
      <c r="T30" s="49"/>
      <c r="U30" s="47"/>
      <c r="V30" s="50"/>
      <c r="W30" s="47"/>
      <c r="X30" s="47"/>
      <c r="Y30" s="47"/>
      <c r="Z30" s="49"/>
      <c r="AA30" s="49"/>
      <c r="AB30" s="20"/>
    </row>
    <row r="31" spans="1:28" ht="15.75" customHeight="1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8"/>
      <c r="K31" s="47"/>
      <c r="L31" s="47"/>
      <c r="M31" s="47"/>
      <c r="N31" s="47"/>
      <c r="O31" s="47"/>
      <c r="P31" s="47"/>
      <c r="Q31" s="47"/>
      <c r="R31" s="47"/>
      <c r="S31" s="49"/>
      <c r="T31" s="49"/>
      <c r="U31" s="47"/>
      <c r="V31" s="50"/>
      <c r="W31" s="47"/>
      <c r="X31" s="47"/>
      <c r="Y31" s="47"/>
      <c r="Z31" s="49"/>
      <c r="AA31" s="49"/>
      <c r="AB31" s="20"/>
    </row>
    <row r="32" spans="1:28" ht="15.7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8"/>
      <c r="K32" s="47"/>
      <c r="L32" s="47"/>
      <c r="M32" s="47"/>
      <c r="N32" s="47"/>
      <c r="O32" s="47"/>
      <c r="P32" s="47"/>
      <c r="Q32" s="47"/>
      <c r="R32" s="47"/>
      <c r="S32" s="49"/>
      <c r="T32" s="49"/>
      <c r="U32" s="47"/>
      <c r="V32" s="50"/>
      <c r="W32" s="47"/>
      <c r="X32" s="47"/>
      <c r="Y32" s="47"/>
      <c r="Z32" s="49"/>
      <c r="AA32" s="49"/>
      <c r="AB32" s="20"/>
    </row>
    <row r="33" spans="1:28" ht="15.7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8"/>
      <c r="K33" s="47"/>
      <c r="L33" s="47"/>
      <c r="M33" s="47"/>
      <c r="N33" s="47"/>
      <c r="O33" s="47"/>
      <c r="P33" s="47"/>
      <c r="Q33" s="47"/>
      <c r="R33" s="47"/>
      <c r="S33" s="49"/>
      <c r="T33" s="49"/>
      <c r="U33" s="47"/>
      <c r="V33" s="50"/>
      <c r="W33" s="47"/>
      <c r="X33" s="47"/>
      <c r="Y33" s="47"/>
      <c r="Z33" s="49"/>
      <c r="AA33" s="49"/>
      <c r="AB33" s="20"/>
    </row>
    <row r="34" spans="1:28" ht="15.75" customHeight="1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8"/>
      <c r="K34" s="47"/>
      <c r="L34" s="47"/>
      <c r="M34" s="47"/>
      <c r="N34" s="47"/>
      <c r="O34" s="47"/>
      <c r="P34" s="47"/>
      <c r="Q34" s="47"/>
      <c r="R34" s="47"/>
      <c r="S34" s="49"/>
      <c r="T34" s="49"/>
      <c r="U34" s="47"/>
      <c r="V34" s="50"/>
      <c r="W34" s="47"/>
      <c r="X34" s="47"/>
      <c r="Y34" s="47"/>
      <c r="Z34" s="49"/>
      <c r="AA34" s="49"/>
      <c r="AB34" s="20"/>
    </row>
    <row r="35" spans="1:28" ht="15.75" customHeight="1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8"/>
      <c r="K35" s="47"/>
      <c r="L35" s="47"/>
      <c r="M35" s="47"/>
      <c r="N35" s="47"/>
      <c r="O35" s="47"/>
      <c r="P35" s="47"/>
      <c r="Q35" s="47"/>
      <c r="R35" s="47"/>
      <c r="S35" s="49"/>
      <c r="T35" s="49"/>
      <c r="U35" s="47"/>
      <c r="V35" s="50"/>
      <c r="W35" s="47"/>
      <c r="X35" s="47"/>
      <c r="Y35" s="47"/>
      <c r="Z35" s="49"/>
      <c r="AA35" s="49"/>
      <c r="AB35" s="20"/>
    </row>
    <row r="36" spans="1:28" ht="15.75" customHeight="1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8"/>
      <c r="K36" s="47"/>
      <c r="L36" s="47"/>
      <c r="M36" s="47"/>
      <c r="N36" s="47"/>
      <c r="O36" s="47"/>
      <c r="P36" s="47"/>
      <c r="Q36" s="47"/>
      <c r="R36" s="47"/>
      <c r="S36" s="49"/>
      <c r="T36" s="49"/>
      <c r="U36" s="47"/>
      <c r="V36" s="50"/>
      <c r="W36" s="47"/>
      <c r="X36" s="47"/>
      <c r="Y36" s="47"/>
      <c r="Z36" s="49"/>
      <c r="AA36" s="49"/>
      <c r="AB36" s="20"/>
    </row>
    <row r="37" spans="1:28" ht="15.75" customHeight="1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8"/>
      <c r="K37" s="47"/>
      <c r="L37" s="47"/>
      <c r="M37" s="47"/>
      <c r="N37" s="47"/>
      <c r="O37" s="47"/>
      <c r="P37" s="47"/>
      <c r="Q37" s="47"/>
      <c r="R37" s="47"/>
      <c r="S37" s="49"/>
      <c r="T37" s="49"/>
      <c r="U37" s="47"/>
      <c r="V37" s="50"/>
      <c r="W37" s="47"/>
      <c r="X37" s="47"/>
      <c r="Y37" s="47"/>
      <c r="Z37" s="49"/>
      <c r="AA37" s="49"/>
      <c r="AB37" s="20"/>
    </row>
    <row r="38" spans="1:28" ht="15.75" customHeight="1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8"/>
      <c r="K38" s="47"/>
      <c r="L38" s="47"/>
      <c r="M38" s="47"/>
      <c r="N38" s="47"/>
      <c r="O38" s="47"/>
      <c r="P38" s="47"/>
      <c r="Q38" s="47"/>
      <c r="R38" s="47"/>
      <c r="S38" s="49"/>
      <c r="T38" s="49"/>
      <c r="U38" s="47"/>
      <c r="V38" s="50"/>
      <c r="W38" s="47"/>
      <c r="X38" s="47"/>
      <c r="Y38" s="47"/>
      <c r="Z38" s="49"/>
      <c r="AA38" s="49"/>
      <c r="AB38" s="20"/>
    </row>
    <row r="39" spans="1:28" ht="15.75" customHeight="1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8"/>
      <c r="K39" s="47"/>
      <c r="L39" s="47"/>
      <c r="M39" s="47"/>
      <c r="N39" s="47"/>
      <c r="O39" s="47"/>
      <c r="P39" s="47"/>
      <c r="Q39" s="47"/>
      <c r="R39" s="47"/>
      <c r="S39" s="49"/>
      <c r="T39" s="49"/>
      <c r="U39" s="47"/>
      <c r="V39" s="50"/>
      <c r="W39" s="47"/>
      <c r="X39" s="47"/>
      <c r="Y39" s="47"/>
      <c r="Z39" s="49"/>
      <c r="AA39" s="49"/>
      <c r="AB39" s="20"/>
    </row>
    <row r="40" spans="1:28" ht="15.75" customHeight="1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8"/>
      <c r="K40" s="47"/>
      <c r="L40" s="47"/>
      <c r="M40" s="47"/>
      <c r="N40" s="47"/>
      <c r="O40" s="47"/>
      <c r="P40" s="47"/>
      <c r="Q40" s="47"/>
      <c r="R40" s="47"/>
      <c r="S40" s="49"/>
      <c r="T40" s="49"/>
      <c r="U40" s="47"/>
      <c r="V40" s="50"/>
      <c r="W40" s="47"/>
      <c r="X40" s="47"/>
      <c r="Y40" s="47"/>
      <c r="Z40" s="49"/>
      <c r="AA40" s="49"/>
      <c r="AB40" s="20"/>
    </row>
    <row r="41" spans="1:28" ht="15.75" customHeight="1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8"/>
      <c r="K41" s="47"/>
      <c r="L41" s="47"/>
      <c r="M41" s="47"/>
      <c r="N41" s="47"/>
      <c r="O41" s="47"/>
      <c r="P41" s="47"/>
      <c r="Q41" s="47"/>
      <c r="R41" s="47"/>
      <c r="S41" s="49"/>
      <c r="T41" s="49"/>
      <c r="U41" s="47"/>
      <c r="V41" s="50"/>
      <c r="W41" s="47"/>
      <c r="X41" s="47"/>
      <c r="Y41" s="47"/>
      <c r="Z41" s="49"/>
      <c r="AA41" s="49"/>
      <c r="AB41" s="20"/>
    </row>
    <row r="42" spans="1:28" ht="15.75" customHeight="1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8"/>
      <c r="K42" s="47"/>
      <c r="L42" s="47"/>
      <c r="M42" s="47"/>
      <c r="N42" s="47"/>
      <c r="O42" s="47"/>
      <c r="P42" s="47"/>
      <c r="Q42" s="47"/>
      <c r="R42" s="47"/>
      <c r="S42" s="49"/>
      <c r="T42" s="49"/>
      <c r="U42" s="47"/>
      <c r="V42" s="50"/>
      <c r="W42" s="47"/>
      <c r="X42" s="47"/>
      <c r="Y42" s="47"/>
      <c r="Z42" s="49"/>
      <c r="AA42" s="49"/>
      <c r="AB42" s="20"/>
    </row>
    <row r="43" spans="1:28" ht="15.75" customHeight="1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8"/>
      <c r="K43" s="47"/>
      <c r="L43" s="47"/>
      <c r="M43" s="47"/>
      <c r="N43" s="47"/>
      <c r="O43" s="47"/>
      <c r="P43" s="47"/>
      <c r="Q43" s="47"/>
      <c r="R43" s="47"/>
      <c r="S43" s="49"/>
      <c r="T43" s="49"/>
      <c r="U43" s="47"/>
      <c r="V43" s="50"/>
      <c r="W43" s="47"/>
      <c r="X43" s="47"/>
      <c r="Y43" s="47"/>
      <c r="Z43" s="49"/>
      <c r="AA43" s="49"/>
      <c r="AB43" s="20"/>
    </row>
    <row r="44" spans="1:28" ht="15.75" customHeight="1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8"/>
      <c r="K44" s="47"/>
      <c r="L44" s="47"/>
      <c r="M44" s="47"/>
      <c r="N44" s="47"/>
      <c r="O44" s="47"/>
      <c r="P44" s="47"/>
      <c r="Q44" s="47"/>
      <c r="R44" s="47"/>
      <c r="S44" s="49"/>
      <c r="T44" s="49"/>
      <c r="U44" s="47"/>
      <c r="V44" s="50"/>
      <c r="W44" s="47"/>
      <c r="X44" s="47"/>
      <c r="Y44" s="47"/>
      <c r="Z44" s="49"/>
      <c r="AA44" s="49"/>
      <c r="AB44" s="20"/>
    </row>
    <row r="45" spans="1:28" ht="15.75" customHeight="1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8"/>
      <c r="K45" s="47"/>
      <c r="L45" s="47"/>
      <c r="M45" s="47"/>
      <c r="N45" s="47"/>
      <c r="O45" s="47"/>
      <c r="P45" s="47"/>
      <c r="Q45" s="47"/>
      <c r="R45" s="47"/>
      <c r="S45" s="49"/>
      <c r="T45" s="49"/>
      <c r="U45" s="47"/>
      <c r="V45" s="50"/>
      <c r="W45" s="47"/>
      <c r="X45" s="47"/>
      <c r="Y45" s="47"/>
      <c r="Z45" s="49"/>
      <c r="AA45" s="49"/>
      <c r="AB45" s="20"/>
    </row>
    <row r="46" spans="1:28" ht="15.75" customHeight="1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8"/>
      <c r="K46" s="47"/>
      <c r="L46" s="47"/>
      <c r="M46" s="47"/>
      <c r="N46" s="47"/>
      <c r="O46" s="47"/>
      <c r="P46" s="47"/>
      <c r="Q46" s="47"/>
      <c r="R46" s="47"/>
      <c r="S46" s="49"/>
      <c r="T46" s="49"/>
      <c r="U46" s="47"/>
      <c r="V46" s="50"/>
      <c r="W46" s="47"/>
      <c r="X46" s="47"/>
      <c r="Y46" s="47"/>
      <c r="Z46" s="49"/>
      <c r="AA46" s="49"/>
      <c r="AB46" s="20"/>
    </row>
    <row r="47" spans="1:28" ht="15.75" customHeight="1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8"/>
      <c r="K47" s="47"/>
      <c r="L47" s="47"/>
      <c r="M47" s="47"/>
      <c r="N47" s="47"/>
      <c r="O47" s="47"/>
      <c r="P47" s="47"/>
      <c r="Q47" s="47"/>
      <c r="R47" s="47"/>
      <c r="S47" s="49"/>
      <c r="T47" s="49"/>
      <c r="U47" s="47"/>
      <c r="V47" s="50"/>
      <c r="W47" s="47"/>
      <c r="X47" s="47"/>
      <c r="Y47" s="47"/>
      <c r="Z47" s="49"/>
      <c r="AA47" s="49"/>
      <c r="AB47" s="20"/>
    </row>
    <row r="48" spans="1:28" ht="15.75" customHeight="1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8"/>
      <c r="K48" s="47"/>
      <c r="L48" s="47"/>
      <c r="M48" s="47"/>
      <c r="N48" s="47"/>
      <c r="O48" s="47"/>
      <c r="P48" s="47"/>
      <c r="Q48" s="47"/>
      <c r="R48" s="47"/>
      <c r="S48" s="49"/>
      <c r="T48" s="49"/>
      <c r="U48" s="47"/>
      <c r="V48" s="50"/>
      <c r="W48" s="47"/>
      <c r="X48" s="47"/>
      <c r="Y48" s="47"/>
      <c r="Z48" s="49"/>
      <c r="AA48" s="49"/>
      <c r="AB48" s="20"/>
    </row>
    <row r="49" spans="1:28" ht="15.75" customHeight="1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8"/>
      <c r="K49" s="47"/>
      <c r="L49" s="47"/>
      <c r="M49" s="47"/>
      <c r="N49" s="47"/>
      <c r="O49" s="47"/>
      <c r="P49" s="47"/>
      <c r="Q49" s="47"/>
      <c r="R49" s="47"/>
      <c r="S49" s="49"/>
      <c r="T49" s="49"/>
      <c r="U49" s="47"/>
      <c r="V49" s="50"/>
      <c r="W49" s="47"/>
      <c r="X49" s="47"/>
      <c r="Y49" s="47"/>
      <c r="Z49" s="49"/>
      <c r="AA49" s="49"/>
      <c r="AB49" s="20"/>
    </row>
    <row r="50" spans="1:28" ht="15.75" customHeight="1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8"/>
      <c r="K50" s="47"/>
      <c r="L50" s="47"/>
      <c r="M50" s="47"/>
      <c r="N50" s="47"/>
      <c r="O50" s="47"/>
      <c r="P50" s="47"/>
      <c r="Q50" s="47"/>
      <c r="R50" s="47"/>
      <c r="S50" s="49"/>
      <c r="T50" s="49"/>
      <c r="U50" s="47"/>
      <c r="V50" s="50"/>
      <c r="W50" s="47"/>
      <c r="X50" s="47"/>
      <c r="Y50" s="47"/>
      <c r="Z50" s="49"/>
      <c r="AA50" s="49"/>
      <c r="AB50" s="20"/>
    </row>
    <row r="51" spans="1:28" ht="15.7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8"/>
      <c r="K51" s="47"/>
      <c r="L51" s="47"/>
      <c r="M51" s="47"/>
      <c r="N51" s="47"/>
      <c r="O51" s="47"/>
      <c r="P51" s="47"/>
      <c r="Q51" s="47"/>
      <c r="R51" s="47"/>
      <c r="S51" s="49"/>
      <c r="T51" s="49"/>
      <c r="U51" s="47"/>
      <c r="V51" s="50"/>
      <c r="W51" s="47"/>
      <c r="X51" s="47"/>
      <c r="Y51" s="47"/>
      <c r="Z51" s="49"/>
      <c r="AA51" s="49"/>
      <c r="AB51" s="20"/>
    </row>
    <row r="52" spans="1:28" ht="15.7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8"/>
      <c r="K52" s="47"/>
      <c r="L52" s="47"/>
      <c r="M52" s="47"/>
      <c r="N52" s="47"/>
      <c r="O52" s="47"/>
      <c r="P52" s="47"/>
      <c r="Q52" s="47"/>
      <c r="R52" s="47"/>
      <c r="S52" s="49"/>
      <c r="T52" s="49"/>
      <c r="U52" s="47"/>
      <c r="V52" s="50"/>
      <c r="W52" s="47"/>
      <c r="X52" s="47"/>
      <c r="Y52" s="47"/>
      <c r="Z52" s="49"/>
      <c r="AA52" s="49"/>
      <c r="AB52" s="20"/>
    </row>
    <row r="53" spans="1:28" ht="15.75" customHeight="1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8"/>
      <c r="K53" s="47"/>
      <c r="L53" s="47"/>
      <c r="M53" s="47"/>
      <c r="N53" s="47"/>
      <c r="O53" s="47"/>
      <c r="P53" s="47"/>
      <c r="Q53" s="47"/>
      <c r="R53" s="47"/>
      <c r="S53" s="49"/>
      <c r="T53" s="49"/>
      <c r="U53" s="47"/>
      <c r="V53" s="50"/>
      <c r="W53" s="47"/>
      <c r="X53" s="47"/>
      <c r="Y53" s="47"/>
      <c r="Z53" s="49"/>
      <c r="AA53" s="49"/>
      <c r="AB53" s="20"/>
    </row>
    <row r="54" spans="1:28" ht="15.75" customHeight="1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8"/>
      <c r="K54" s="47"/>
      <c r="L54" s="47"/>
      <c r="M54" s="47"/>
      <c r="N54" s="47"/>
      <c r="O54" s="47"/>
      <c r="P54" s="47"/>
      <c r="Q54" s="47"/>
      <c r="R54" s="47"/>
      <c r="S54" s="49"/>
      <c r="T54" s="49"/>
      <c r="U54" s="47"/>
      <c r="V54" s="50"/>
      <c r="W54" s="47"/>
      <c r="X54" s="47"/>
      <c r="Y54" s="47"/>
      <c r="Z54" s="49"/>
      <c r="AA54" s="49"/>
      <c r="AB54" s="20"/>
    </row>
    <row r="55" spans="1:28" ht="15.75" customHeight="1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8"/>
      <c r="K55" s="47"/>
      <c r="L55" s="47"/>
      <c r="M55" s="47"/>
      <c r="N55" s="47"/>
      <c r="O55" s="47"/>
      <c r="P55" s="47"/>
      <c r="Q55" s="47"/>
      <c r="R55" s="47"/>
      <c r="S55" s="49"/>
      <c r="T55" s="49"/>
      <c r="U55" s="47"/>
      <c r="V55" s="50"/>
      <c r="W55" s="47"/>
      <c r="X55" s="47"/>
      <c r="Y55" s="47"/>
      <c r="Z55" s="49"/>
      <c r="AA55" s="49"/>
      <c r="AB55" s="20"/>
    </row>
    <row r="56" spans="1:28" ht="15.75" customHeight="1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8"/>
      <c r="K56" s="47"/>
      <c r="L56" s="47"/>
      <c r="M56" s="47"/>
      <c r="N56" s="47"/>
      <c r="O56" s="47"/>
      <c r="P56" s="47"/>
      <c r="Q56" s="47"/>
      <c r="R56" s="47"/>
      <c r="S56" s="49"/>
      <c r="T56" s="49"/>
      <c r="U56" s="47"/>
      <c r="V56" s="50"/>
      <c r="W56" s="47"/>
      <c r="X56" s="47"/>
      <c r="Y56" s="47"/>
      <c r="Z56" s="49"/>
      <c r="AA56" s="49"/>
      <c r="AB56" s="20"/>
    </row>
    <row r="57" spans="1:28" ht="15.75" customHeight="1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8"/>
      <c r="K57" s="47"/>
      <c r="L57" s="47"/>
      <c r="M57" s="47"/>
      <c r="N57" s="47"/>
      <c r="O57" s="47"/>
      <c r="P57" s="47"/>
      <c r="Q57" s="47"/>
      <c r="R57" s="47"/>
      <c r="S57" s="49"/>
      <c r="T57" s="49"/>
      <c r="U57" s="47"/>
      <c r="V57" s="50"/>
      <c r="W57" s="47"/>
      <c r="X57" s="47"/>
      <c r="Y57" s="47"/>
      <c r="Z57" s="49"/>
      <c r="AA57" s="49"/>
      <c r="AB57" s="20"/>
    </row>
    <row r="58" spans="1:28" ht="15.75" customHeight="1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8"/>
      <c r="K58" s="47"/>
      <c r="L58" s="47"/>
      <c r="M58" s="47"/>
      <c r="N58" s="47"/>
      <c r="O58" s="47"/>
      <c r="P58" s="47"/>
      <c r="Q58" s="47"/>
      <c r="R58" s="47"/>
      <c r="S58" s="49"/>
      <c r="T58" s="49"/>
      <c r="U58" s="47"/>
      <c r="V58" s="50"/>
      <c r="W58" s="47"/>
      <c r="X58" s="47"/>
      <c r="Y58" s="47"/>
      <c r="Z58" s="49"/>
      <c r="AA58" s="49"/>
      <c r="AB58" s="20"/>
    </row>
    <row r="59" spans="1:28" ht="15.75" customHeight="1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8"/>
      <c r="K59" s="47"/>
      <c r="L59" s="47"/>
      <c r="M59" s="47"/>
      <c r="N59" s="47"/>
      <c r="O59" s="47"/>
      <c r="P59" s="47"/>
      <c r="Q59" s="47"/>
      <c r="R59" s="47"/>
      <c r="S59" s="49"/>
      <c r="T59" s="49"/>
      <c r="U59" s="47"/>
      <c r="V59" s="50"/>
      <c r="W59" s="47"/>
      <c r="X59" s="47"/>
      <c r="Y59" s="47"/>
      <c r="Z59" s="49"/>
      <c r="AA59" s="49"/>
      <c r="AB59" s="20"/>
    </row>
    <row r="60" spans="1:28" ht="15.7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8"/>
      <c r="K60" s="47"/>
      <c r="L60" s="47"/>
      <c r="M60" s="47"/>
      <c r="N60" s="47"/>
      <c r="O60" s="47"/>
      <c r="P60" s="47"/>
      <c r="Q60" s="47"/>
      <c r="R60" s="47"/>
      <c r="S60" s="49"/>
      <c r="T60" s="49"/>
      <c r="U60" s="47"/>
      <c r="V60" s="50"/>
      <c r="W60" s="47"/>
      <c r="X60" s="47"/>
      <c r="Y60" s="47"/>
      <c r="Z60" s="49"/>
      <c r="AA60" s="49"/>
      <c r="AB60" s="20"/>
    </row>
    <row r="61" spans="1:28" ht="15.7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8"/>
      <c r="K61" s="47"/>
      <c r="L61" s="47"/>
      <c r="M61" s="47"/>
      <c r="N61" s="47"/>
      <c r="O61" s="47"/>
      <c r="P61" s="47"/>
      <c r="Q61" s="47"/>
      <c r="R61" s="47"/>
      <c r="S61" s="49"/>
      <c r="T61" s="49"/>
      <c r="U61" s="47"/>
      <c r="V61" s="50"/>
      <c r="W61" s="47"/>
      <c r="X61" s="47"/>
      <c r="Y61" s="47"/>
      <c r="Z61" s="49"/>
      <c r="AA61" s="49"/>
      <c r="AB61" s="20"/>
    </row>
    <row r="62" spans="1:28" ht="15.75" customHeight="1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8"/>
      <c r="K62" s="47"/>
      <c r="L62" s="47"/>
      <c r="M62" s="47"/>
      <c r="N62" s="47"/>
      <c r="O62" s="47"/>
      <c r="P62" s="47"/>
      <c r="Q62" s="47"/>
      <c r="R62" s="47"/>
      <c r="S62" s="49"/>
      <c r="T62" s="49"/>
      <c r="U62" s="47"/>
      <c r="V62" s="50"/>
      <c r="W62" s="47"/>
      <c r="X62" s="47"/>
      <c r="Y62" s="47"/>
      <c r="Z62" s="49"/>
      <c r="AA62" s="49"/>
      <c r="AB62" s="20"/>
    </row>
    <row r="63" spans="1:28" ht="15.75" customHeight="1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8"/>
      <c r="K63" s="47"/>
      <c r="L63" s="47"/>
      <c r="M63" s="47"/>
      <c r="N63" s="47"/>
      <c r="O63" s="47"/>
      <c r="P63" s="47"/>
      <c r="Q63" s="47"/>
      <c r="R63" s="47"/>
      <c r="S63" s="49"/>
      <c r="T63" s="49"/>
      <c r="U63" s="47"/>
      <c r="V63" s="50"/>
      <c r="W63" s="47"/>
      <c r="X63" s="47"/>
      <c r="Y63" s="47"/>
      <c r="Z63" s="49"/>
      <c r="AA63" s="49"/>
      <c r="AB63" s="20"/>
    </row>
    <row r="64" spans="1:28" ht="15.75" customHeight="1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8"/>
      <c r="K64" s="47"/>
      <c r="L64" s="47"/>
      <c r="M64" s="47"/>
      <c r="N64" s="47"/>
      <c r="O64" s="47"/>
      <c r="P64" s="47"/>
      <c r="Q64" s="47"/>
      <c r="R64" s="47"/>
      <c r="S64" s="49"/>
      <c r="T64" s="49"/>
      <c r="U64" s="47"/>
      <c r="V64" s="50"/>
      <c r="W64" s="47"/>
      <c r="X64" s="47"/>
      <c r="Y64" s="47"/>
      <c r="Z64" s="49"/>
      <c r="AA64" s="49"/>
      <c r="AB64" s="20"/>
    </row>
    <row r="65" spans="1:28" ht="15.75" customHeight="1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8"/>
      <c r="K65" s="47"/>
      <c r="L65" s="47"/>
      <c r="M65" s="47"/>
      <c r="N65" s="47"/>
      <c r="O65" s="47"/>
      <c r="P65" s="47"/>
      <c r="Q65" s="47"/>
      <c r="R65" s="47"/>
      <c r="S65" s="49"/>
      <c r="T65" s="49"/>
      <c r="U65" s="47"/>
      <c r="V65" s="50"/>
      <c r="W65" s="47"/>
      <c r="X65" s="47"/>
      <c r="Y65" s="47"/>
      <c r="Z65" s="49"/>
      <c r="AA65" s="49"/>
      <c r="AB65" s="20"/>
    </row>
    <row r="66" spans="1:28" ht="15.75" customHeight="1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8"/>
      <c r="K66" s="47"/>
      <c r="L66" s="47"/>
      <c r="M66" s="47"/>
      <c r="N66" s="47"/>
      <c r="O66" s="47"/>
      <c r="P66" s="47"/>
      <c r="Q66" s="47"/>
      <c r="R66" s="47"/>
      <c r="S66" s="49"/>
      <c r="T66" s="49"/>
      <c r="U66" s="47"/>
      <c r="V66" s="50"/>
      <c r="W66" s="47"/>
      <c r="X66" s="47"/>
      <c r="Y66" s="47"/>
      <c r="Z66" s="49"/>
      <c r="AA66" s="49"/>
      <c r="AB66" s="20"/>
    </row>
    <row r="67" spans="1:28" ht="15.75" customHeight="1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8"/>
      <c r="K67" s="47"/>
      <c r="L67" s="47"/>
      <c r="M67" s="47"/>
      <c r="N67" s="47"/>
      <c r="O67" s="47"/>
      <c r="P67" s="47"/>
      <c r="Q67" s="47"/>
      <c r="R67" s="47"/>
      <c r="S67" s="49"/>
      <c r="T67" s="49"/>
      <c r="U67" s="47"/>
      <c r="V67" s="50"/>
      <c r="W67" s="47"/>
      <c r="X67" s="47"/>
      <c r="Y67" s="47"/>
      <c r="Z67" s="49"/>
      <c r="AA67" s="49"/>
      <c r="AB67" s="20"/>
    </row>
    <row r="68" spans="1:28" ht="15.75" customHeight="1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8"/>
      <c r="K68" s="47"/>
      <c r="L68" s="47"/>
      <c r="M68" s="47"/>
      <c r="N68" s="47"/>
      <c r="O68" s="47"/>
      <c r="P68" s="47"/>
      <c r="Q68" s="47"/>
      <c r="R68" s="47"/>
      <c r="S68" s="49"/>
      <c r="T68" s="49"/>
      <c r="U68" s="47"/>
      <c r="V68" s="50"/>
      <c r="W68" s="47"/>
      <c r="X68" s="47"/>
      <c r="Y68" s="47"/>
      <c r="Z68" s="49"/>
      <c r="AA68" s="49"/>
      <c r="AB68" s="20"/>
    </row>
    <row r="69" spans="1:28" ht="15.7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8"/>
      <c r="K69" s="47"/>
      <c r="L69" s="47"/>
      <c r="M69" s="47"/>
      <c r="N69" s="47"/>
      <c r="O69" s="47"/>
      <c r="P69" s="47"/>
      <c r="Q69" s="47"/>
      <c r="R69" s="47"/>
      <c r="S69" s="49"/>
      <c r="T69" s="49"/>
      <c r="U69" s="47"/>
      <c r="V69" s="50"/>
      <c r="W69" s="47"/>
      <c r="X69" s="47"/>
      <c r="Y69" s="47"/>
      <c r="Z69" s="49"/>
      <c r="AA69" s="49"/>
      <c r="AB69" s="20"/>
    </row>
    <row r="70" spans="1:28" ht="15.75" customHeight="1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8"/>
      <c r="K70" s="47"/>
      <c r="L70" s="47"/>
      <c r="M70" s="47"/>
      <c r="N70" s="47"/>
      <c r="O70" s="47"/>
      <c r="P70" s="47"/>
      <c r="Q70" s="47"/>
      <c r="R70" s="47"/>
      <c r="S70" s="49"/>
      <c r="T70" s="49"/>
      <c r="U70" s="47"/>
      <c r="V70" s="50"/>
      <c r="W70" s="47"/>
      <c r="X70" s="47"/>
      <c r="Y70" s="47"/>
      <c r="Z70" s="49"/>
      <c r="AA70" s="49"/>
      <c r="AB70" s="20"/>
    </row>
    <row r="71" spans="1:28" ht="15.75" customHeight="1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8"/>
      <c r="K71" s="47"/>
      <c r="L71" s="47"/>
      <c r="M71" s="47"/>
      <c r="N71" s="47"/>
      <c r="O71" s="47"/>
      <c r="P71" s="47"/>
      <c r="Q71" s="47"/>
      <c r="R71" s="47"/>
      <c r="S71" s="49"/>
      <c r="T71" s="49"/>
      <c r="U71" s="47"/>
      <c r="V71" s="50"/>
      <c r="W71" s="47"/>
      <c r="X71" s="47"/>
      <c r="Y71" s="47"/>
      <c r="Z71" s="49"/>
      <c r="AA71" s="49"/>
      <c r="AB71" s="20"/>
    </row>
    <row r="72" spans="1:28" ht="15.75" customHeight="1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8"/>
      <c r="K72" s="47"/>
      <c r="L72" s="47"/>
      <c r="M72" s="47"/>
      <c r="N72" s="47"/>
      <c r="O72" s="47"/>
      <c r="P72" s="47"/>
      <c r="Q72" s="47"/>
      <c r="R72" s="47"/>
      <c r="S72" s="49"/>
      <c r="T72" s="49"/>
      <c r="U72" s="47"/>
      <c r="V72" s="50"/>
      <c r="W72" s="47"/>
      <c r="X72" s="47"/>
      <c r="Y72" s="47"/>
      <c r="Z72" s="49"/>
      <c r="AA72" s="49"/>
      <c r="AB72" s="20"/>
    </row>
    <row r="73" spans="1:28" ht="15.75" customHeight="1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8"/>
      <c r="K73" s="47"/>
      <c r="L73" s="47"/>
      <c r="M73" s="47"/>
      <c r="N73" s="47"/>
      <c r="O73" s="47"/>
      <c r="P73" s="47"/>
      <c r="Q73" s="47"/>
      <c r="R73" s="47"/>
      <c r="S73" s="49"/>
      <c r="T73" s="49"/>
      <c r="U73" s="47"/>
      <c r="V73" s="50"/>
      <c r="W73" s="47"/>
      <c r="X73" s="47"/>
      <c r="Y73" s="47"/>
      <c r="Z73" s="49"/>
      <c r="AA73" s="49"/>
      <c r="AB73" s="20"/>
    </row>
    <row r="74" spans="1:28" ht="15.75" customHeight="1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8"/>
      <c r="K74" s="47"/>
      <c r="L74" s="47"/>
      <c r="M74" s="47"/>
      <c r="N74" s="47"/>
      <c r="O74" s="47"/>
      <c r="P74" s="47"/>
      <c r="Q74" s="47"/>
      <c r="R74" s="47"/>
      <c r="S74" s="49"/>
      <c r="T74" s="49"/>
      <c r="U74" s="47"/>
      <c r="V74" s="50"/>
      <c r="W74" s="47"/>
      <c r="X74" s="47"/>
      <c r="Y74" s="47"/>
      <c r="Z74" s="49"/>
      <c r="AA74" s="49"/>
      <c r="AB74" s="20"/>
    </row>
    <row r="75" spans="1:28" ht="15.75" customHeight="1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8"/>
      <c r="K75" s="47"/>
      <c r="L75" s="47"/>
      <c r="M75" s="47"/>
      <c r="N75" s="47"/>
      <c r="O75" s="47"/>
      <c r="P75" s="47"/>
      <c r="Q75" s="47"/>
      <c r="R75" s="47"/>
      <c r="S75" s="49"/>
      <c r="T75" s="49"/>
      <c r="U75" s="47"/>
      <c r="V75" s="50"/>
      <c r="W75" s="47"/>
      <c r="X75" s="47"/>
      <c r="Y75" s="47"/>
      <c r="Z75" s="49"/>
      <c r="AA75" s="49"/>
      <c r="AB75" s="20"/>
    </row>
    <row r="76" spans="1:28" ht="15.75" customHeight="1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8"/>
      <c r="K76" s="47"/>
      <c r="L76" s="47"/>
      <c r="M76" s="47"/>
      <c r="N76" s="47"/>
      <c r="O76" s="47"/>
      <c r="P76" s="47"/>
      <c r="Q76" s="47"/>
      <c r="R76" s="47"/>
      <c r="S76" s="49"/>
      <c r="T76" s="49"/>
      <c r="U76" s="47"/>
      <c r="V76" s="50"/>
      <c r="W76" s="47"/>
      <c r="X76" s="47"/>
      <c r="Y76" s="47"/>
      <c r="Z76" s="49"/>
      <c r="AA76" s="49"/>
      <c r="AB76" s="20"/>
    </row>
    <row r="77" spans="1:28" ht="15.75" customHeight="1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8"/>
      <c r="K77" s="47"/>
      <c r="L77" s="47"/>
      <c r="M77" s="47"/>
      <c r="N77" s="47"/>
      <c r="O77" s="47"/>
      <c r="P77" s="47"/>
      <c r="Q77" s="47"/>
      <c r="R77" s="47"/>
      <c r="S77" s="49"/>
      <c r="T77" s="49"/>
      <c r="U77" s="47"/>
      <c r="V77" s="50"/>
      <c r="W77" s="47"/>
      <c r="X77" s="47"/>
      <c r="Y77" s="47"/>
      <c r="Z77" s="49"/>
      <c r="AA77" s="49"/>
      <c r="AB77" s="20"/>
    </row>
    <row r="78" spans="1:28" ht="15.75" customHeight="1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8"/>
      <c r="K78" s="47"/>
      <c r="L78" s="47"/>
      <c r="M78" s="47"/>
      <c r="N78" s="47"/>
      <c r="O78" s="47"/>
      <c r="P78" s="47"/>
      <c r="Q78" s="47"/>
      <c r="R78" s="47"/>
      <c r="S78" s="49"/>
      <c r="T78" s="49"/>
      <c r="U78" s="47"/>
      <c r="V78" s="50"/>
      <c r="W78" s="47"/>
      <c r="X78" s="47"/>
      <c r="Y78" s="47"/>
      <c r="Z78" s="49"/>
      <c r="AA78" s="49"/>
      <c r="AB78" s="20"/>
    </row>
    <row r="79" spans="1:28" ht="15.75" customHeight="1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8"/>
      <c r="K79" s="47"/>
      <c r="L79" s="47"/>
      <c r="M79" s="47"/>
      <c r="N79" s="47"/>
      <c r="O79" s="47"/>
      <c r="P79" s="47"/>
      <c r="Q79" s="47"/>
      <c r="R79" s="47"/>
      <c r="S79" s="49"/>
      <c r="T79" s="49"/>
      <c r="U79" s="47"/>
      <c r="V79" s="50"/>
      <c r="W79" s="47"/>
      <c r="X79" s="47"/>
      <c r="Y79" s="47"/>
      <c r="Z79" s="49"/>
      <c r="AA79" s="49"/>
      <c r="AB79" s="20"/>
    </row>
    <row r="80" spans="1:28" ht="15.75" customHeight="1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8"/>
      <c r="K80" s="47"/>
      <c r="L80" s="47"/>
      <c r="M80" s="47"/>
      <c r="N80" s="47"/>
      <c r="O80" s="47"/>
      <c r="P80" s="47"/>
      <c r="Q80" s="47"/>
      <c r="R80" s="47"/>
      <c r="S80" s="49"/>
      <c r="T80" s="49"/>
      <c r="U80" s="47"/>
      <c r="V80" s="50"/>
      <c r="W80" s="47"/>
      <c r="X80" s="47"/>
      <c r="Y80" s="47"/>
      <c r="Z80" s="49"/>
      <c r="AA80" s="49"/>
      <c r="AB80" s="20"/>
    </row>
    <row r="81" spans="1:28" ht="15.75" customHeight="1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8"/>
      <c r="K81" s="47"/>
      <c r="L81" s="47"/>
      <c r="M81" s="47"/>
      <c r="N81" s="47"/>
      <c r="O81" s="47"/>
      <c r="P81" s="47"/>
      <c r="Q81" s="47"/>
      <c r="R81" s="47"/>
      <c r="S81" s="49"/>
      <c r="T81" s="49"/>
      <c r="U81" s="47"/>
      <c r="V81" s="50"/>
      <c r="W81" s="47"/>
      <c r="X81" s="47"/>
      <c r="Y81" s="47"/>
      <c r="Z81" s="49"/>
      <c r="AA81" s="49"/>
      <c r="AB81" s="20"/>
    </row>
    <row r="82" spans="1:28" ht="15.75" customHeight="1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8"/>
      <c r="K82" s="47"/>
      <c r="L82" s="47"/>
      <c r="M82" s="47"/>
      <c r="N82" s="47"/>
      <c r="O82" s="47"/>
      <c r="P82" s="47"/>
      <c r="Q82" s="47"/>
      <c r="R82" s="47"/>
      <c r="S82" s="49"/>
      <c r="T82" s="49"/>
      <c r="U82" s="47"/>
      <c r="V82" s="50"/>
      <c r="W82" s="47"/>
      <c r="X82" s="47"/>
      <c r="Y82" s="47"/>
      <c r="Z82" s="49"/>
      <c r="AA82" s="49"/>
      <c r="AB82" s="20"/>
    </row>
    <row r="83" spans="1:28" ht="15.75" customHeight="1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8"/>
      <c r="K83" s="47"/>
      <c r="L83" s="47"/>
      <c r="M83" s="47"/>
      <c r="N83" s="47"/>
      <c r="O83" s="47"/>
      <c r="P83" s="47"/>
      <c r="Q83" s="47"/>
      <c r="R83" s="47"/>
      <c r="S83" s="49"/>
      <c r="T83" s="49"/>
      <c r="U83" s="47"/>
      <c r="V83" s="50"/>
      <c r="W83" s="47"/>
      <c r="X83" s="47"/>
      <c r="Y83" s="47"/>
      <c r="Z83" s="49"/>
      <c r="AA83" s="49"/>
      <c r="AB83" s="20"/>
    </row>
    <row r="84" spans="1:28" ht="15.75" customHeight="1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8"/>
      <c r="K84" s="47"/>
      <c r="L84" s="47"/>
      <c r="M84" s="47"/>
      <c r="N84" s="47"/>
      <c r="O84" s="47"/>
      <c r="P84" s="47"/>
      <c r="Q84" s="47"/>
      <c r="R84" s="47"/>
      <c r="S84" s="49"/>
      <c r="T84" s="49"/>
      <c r="U84" s="47"/>
      <c r="V84" s="50"/>
      <c r="W84" s="47"/>
      <c r="X84" s="47"/>
      <c r="Y84" s="47"/>
      <c r="Z84" s="49"/>
      <c r="AA84" s="49"/>
      <c r="AB84" s="20"/>
    </row>
    <row r="85" spans="1:28" ht="15.75" customHeight="1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8"/>
      <c r="K85" s="47"/>
      <c r="L85" s="47"/>
      <c r="M85" s="47"/>
      <c r="N85" s="47"/>
      <c r="O85" s="47"/>
      <c r="P85" s="47"/>
      <c r="Q85" s="47"/>
      <c r="R85" s="47"/>
      <c r="S85" s="49"/>
      <c r="T85" s="49"/>
      <c r="U85" s="47"/>
      <c r="V85" s="50"/>
      <c r="W85" s="47"/>
      <c r="X85" s="47"/>
      <c r="Y85" s="47"/>
      <c r="Z85" s="49"/>
      <c r="AA85" s="49"/>
      <c r="AB85" s="20"/>
    </row>
    <row r="86" spans="1:28" ht="15.75" customHeight="1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8"/>
      <c r="K86" s="47"/>
      <c r="L86" s="47"/>
      <c r="M86" s="47"/>
      <c r="N86" s="47"/>
      <c r="O86" s="47"/>
      <c r="P86" s="47"/>
      <c r="Q86" s="47"/>
      <c r="R86" s="47"/>
      <c r="S86" s="49"/>
      <c r="T86" s="49"/>
      <c r="U86" s="47"/>
      <c r="V86" s="50"/>
      <c r="W86" s="47"/>
      <c r="X86" s="47"/>
      <c r="Y86" s="47"/>
      <c r="Z86" s="49"/>
      <c r="AA86" s="49"/>
      <c r="AB86" s="20"/>
    </row>
    <row r="87" spans="1:28" ht="15.75" customHeight="1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8"/>
      <c r="K87" s="47"/>
      <c r="L87" s="47"/>
      <c r="M87" s="47"/>
      <c r="N87" s="47"/>
      <c r="O87" s="47"/>
      <c r="P87" s="47"/>
      <c r="Q87" s="47"/>
      <c r="R87" s="47"/>
      <c r="S87" s="49"/>
      <c r="T87" s="49"/>
      <c r="U87" s="47"/>
      <c r="V87" s="50"/>
      <c r="W87" s="47"/>
      <c r="X87" s="47"/>
      <c r="Y87" s="47"/>
      <c r="Z87" s="49"/>
      <c r="AA87" s="49"/>
      <c r="AB87" s="20"/>
    </row>
    <row r="88" spans="1:28" ht="15.75" customHeight="1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8"/>
      <c r="K88" s="47"/>
      <c r="L88" s="47"/>
      <c r="M88" s="47"/>
      <c r="N88" s="47"/>
      <c r="O88" s="47"/>
      <c r="P88" s="47"/>
      <c r="Q88" s="47"/>
      <c r="R88" s="47"/>
      <c r="S88" s="49"/>
      <c r="T88" s="49"/>
      <c r="U88" s="47"/>
      <c r="V88" s="50"/>
      <c r="W88" s="47"/>
      <c r="X88" s="47"/>
      <c r="Y88" s="47"/>
      <c r="Z88" s="49"/>
      <c r="AA88" s="49"/>
      <c r="AB88" s="20"/>
    </row>
    <row r="89" spans="1:28" ht="15.75" customHeight="1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8"/>
      <c r="K89" s="47"/>
      <c r="L89" s="47"/>
      <c r="M89" s="47"/>
      <c r="N89" s="47"/>
      <c r="O89" s="47"/>
      <c r="P89" s="47"/>
      <c r="Q89" s="47"/>
      <c r="R89" s="47"/>
      <c r="S89" s="49"/>
      <c r="T89" s="49"/>
      <c r="U89" s="47"/>
      <c r="V89" s="50"/>
      <c r="W89" s="47"/>
      <c r="X89" s="47"/>
      <c r="Y89" s="47"/>
      <c r="Z89" s="49"/>
      <c r="AA89" s="49"/>
      <c r="AB89" s="20"/>
    </row>
    <row r="90" spans="1:28" ht="15.75" customHeight="1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8"/>
      <c r="K90" s="47"/>
      <c r="L90" s="47"/>
      <c r="M90" s="47"/>
      <c r="N90" s="47"/>
      <c r="O90" s="47"/>
      <c r="P90" s="47"/>
      <c r="Q90" s="47"/>
      <c r="R90" s="47"/>
      <c r="S90" s="49"/>
      <c r="T90" s="49"/>
      <c r="U90" s="47"/>
      <c r="V90" s="50"/>
      <c r="W90" s="47"/>
      <c r="X90" s="47"/>
      <c r="Y90" s="47"/>
      <c r="Z90" s="49"/>
      <c r="AA90" s="49"/>
      <c r="AB90" s="20"/>
    </row>
    <row r="91" spans="1:28" ht="15.75" customHeight="1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8"/>
      <c r="K91" s="47"/>
      <c r="L91" s="47"/>
      <c r="M91" s="47"/>
      <c r="N91" s="47"/>
      <c r="O91" s="47"/>
      <c r="P91" s="47"/>
      <c r="Q91" s="47"/>
      <c r="R91" s="47"/>
      <c r="S91" s="49"/>
      <c r="T91" s="49"/>
      <c r="U91" s="47"/>
      <c r="V91" s="50"/>
      <c r="W91" s="47"/>
      <c r="X91" s="47"/>
      <c r="Y91" s="47"/>
      <c r="Z91" s="49"/>
      <c r="AA91" s="49"/>
      <c r="AB91" s="20"/>
    </row>
    <row r="92" spans="1:28" ht="15.75" customHeight="1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8"/>
      <c r="K92" s="47"/>
      <c r="L92" s="47"/>
      <c r="M92" s="47"/>
      <c r="N92" s="47"/>
      <c r="O92" s="47"/>
      <c r="P92" s="47"/>
      <c r="Q92" s="47"/>
      <c r="R92" s="47"/>
      <c r="S92" s="49"/>
      <c r="T92" s="49"/>
      <c r="U92" s="47"/>
      <c r="V92" s="50"/>
      <c r="W92" s="47"/>
      <c r="X92" s="47"/>
      <c r="Y92" s="47"/>
      <c r="Z92" s="49"/>
      <c r="AA92" s="49"/>
      <c r="AB92" s="20"/>
    </row>
    <row r="93" spans="1:28" ht="15.75" customHeight="1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8"/>
      <c r="K93" s="47"/>
      <c r="L93" s="47"/>
      <c r="M93" s="47"/>
      <c r="N93" s="47"/>
      <c r="O93" s="47"/>
      <c r="P93" s="47"/>
      <c r="Q93" s="47"/>
      <c r="R93" s="47"/>
      <c r="S93" s="49"/>
      <c r="T93" s="49"/>
      <c r="U93" s="47"/>
      <c r="V93" s="50"/>
      <c r="W93" s="47"/>
      <c r="X93" s="47"/>
      <c r="Y93" s="47"/>
      <c r="Z93" s="49"/>
      <c r="AA93" s="49"/>
      <c r="AB93" s="20"/>
    </row>
    <row r="94" spans="1:28" ht="15.75" customHeight="1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8"/>
      <c r="K94" s="47"/>
      <c r="L94" s="47"/>
      <c r="M94" s="47"/>
      <c r="N94" s="47"/>
      <c r="O94" s="47"/>
      <c r="P94" s="47"/>
      <c r="Q94" s="47"/>
      <c r="R94" s="47"/>
      <c r="S94" s="49"/>
      <c r="T94" s="49"/>
      <c r="U94" s="47"/>
      <c r="V94" s="50"/>
      <c r="W94" s="47"/>
      <c r="X94" s="47"/>
      <c r="Y94" s="47"/>
      <c r="Z94" s="49"/>
      <c r="AA94" s="49"/>
      <c r="AB94" s="20"/>
    </row>
    <row r="95" spans="1:28" ht="15.75" customHeight="1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8"/>
      <c r="K95" s="47"/>
      <c r="L95" s="47"/>
      <c r="M95" s="47"/>
      <c r="N95" s="47"/>
      <c r="O95" s="47"/>
      <c r="P95" s="47"/>
      <c r="Q95" s="47"/>
      <c r="R95" s="47"/>
      <c r="S95" s="49"/>
      <c r="T95" s="49"/>
      <c r="U95" s="47"/>
      <c r="V95" s="50"/>
      <c r="W95" s="47"/>
      <c r="X95" s="47"/>
      <c r="Y95" s="47"/>
      <c r="Z95" s="49"/>
      <c r="AA95" s="49"/>
      <c r="AB95" s="20"/>
    </row>
    <row r="96" spans="1:28" ht="15.75" customHeight="1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8"/>
      <c r="K96" s="47"/>
      <c r="L96" s="47"/>
      <c r="M96" s="47"/>
      <c r="N96" s="47"/>
      <c r="O96" s="47"/>
      <c r="P96" s="47"/>
      <c r="Q96" s="47"/>
      <c r="R96" s="47"/>
      <c r="S96" s="49"/>
      <c r="T96" s="49"/>
      <c r="U96" s="47"/>
      <c r="V96" s="50"/>
      <c r="W96" s="47"/>
      <c r="X96" s="47"/>
      <c r="Y96" s="47"/>
      <c r="Z96" s="49"/>
      <c r="AA96" s="49"/>
      <c r="AB96" s="20"/>
    </row>
    <row r="97" spans="1:28" ht="15.75" customHeight="1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8"/>
      <c r="K97" s="47"/>
      <c r="L97" s="47"/>
      <c r="M97" s="47"/>
      <c r="N97" s="47"/>
      <c r="O97" s="47"/>
      <c r="P97" s="47"/>
      <c r="Q97" s="47"/>
      <c r="R97" s="47"/>
      <c r="S97" s="49"/>
      <c r="T97" s="49"/>
      <c r="U97" s="47"/>
      <c r="V97" s="50"/>
      <c r="W97" s="47"/>
      <c r="X97" s="47"/>
      <c r="Y97" s="47"/>
      <c r="Z97" s="49"/>
      <c r="AA97" s="49"/>
      <c r="AB97" s="20"/>
    </row>
    <row r="98" spans="1:28" ht="15.75" customHeight="1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8"/>
      <c r="K98" s="47"/>
      <c r="L98" s="47"/>
      <c r="M98" s="47"/>
      <c r="N98" s="47"/>
      <c r="O98" s="47"/>
      <c r="P98" s="47"/>
      <c r="Q98" s="47"/>
      <c r="R98" s="47"/>
      <c r="S98" s="49"/>
      <c r="T98" s="49"/>
      <c r="U98" s="47"/>
      <c r="V98" s="50"/>
      <c r="W98" s="47"/>
      <c r="X98" s="47"/>
      <c r="Y98" s="47"/>
      <c r="Z98" s="49"/>
      <c r="AA98" s="49"/>
      <c r="AB98" s="20"/>
    </row>
    <row r="99" spans="1:28" ht="15.75" customHeight="1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8"/>
      <c r="K99" s="47"/>
      <c r="L99" s="47"/>
      <c r="M99" s="47"/>
      <c r="N99" s="47"/>
      <c r="O99" s="47"/>
      <c r="P99" s="47"/>
      <c r="Q99" s="47"/>
      <c r="R99" s="47"/>
      <c r="S99" s="49"/>
      <c r="T99" s="49"/>
      <c r="U99" s="47"/>
      <c r="V99" s="50"/>
      <c r="W99" s="47"/>
      <c r="X99" s="47"/>
      <c r="Y99" s="47"/>
      <c r="Z99" s="49"/>
      <c r="AA99" s="49"/>
      <c r="AB99" s="20"/>
    </row>
    <row r="100" spans="1:28" ht="15.75" customHeight="1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8"/>
      <c r="K100" s="47"/>
      <c r="L100" s="47"/>
      <c r="M100" s="47"/>
      <c r="N100" s="47"/>
      <c r="O100" s="47"/>
      <c r="P100" s="47"/>
      <c r="Q100" s="47"/>
      <c r="R100" s="47"/>
      <c r="S100" s="49"/>
      <c r="T100" s="49"/>
      <c r="U100" s="47"/>
      <c r="V100" s="50"/>
      <c r="W100" s="47"/>
      <c r="X100" s="47"/>
      <c r="Y100" s="47"/>
      <c r="Z100" s="49"/>
      <c r="AA100" s="49"/>
      <c r="AB100" s="20"/>
    </row>
    <row r="101" spans="1:28" ht="15.75" customHeight="1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8"/>
      <c r="K101" s="47"/>
      <c r="L101" s="47"/>
      <c r="M101" s="47"/>
      <c r="N101" s="47"/>
      <c r="O101" s="47"/>
      <c r="P101" s="47"/>
      <c r="Q101" s="47"/>
      <c r="R101" s="47"/>
      <c r="S101" s="49"/>
      <c r="T101" s="49"/>
      <c r="U101" s="47"/>
      <c r="V101" s="50"/>
      <c r="W101" s="47"/>
      <c r="X101" s="47"/>
      <c r="Y101" s="47"/>
      <c r="Z101" s="49"/>
      <c r="AA101" s="49"/>
      <c r="AB101" s="20"/>
    </row>
    <row r="102" spans="1:28" ht="15.75" customHeight="1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8"/>
      <c r="K102" s="47"/>
      <c r="L102" s="47"/>
      <c r="M102" s="47"/>
      <c r="N102" s="47"/>
      <c r="O102" s="47"/>
      <c r="P102" s="47"/>
      <c r="Q102" s="47"/>
      <c r="R102" s="47"/>
      <c r="S102" s="49"/>
      <c r="T102" s="49"/>
      <c r="U102" s="47"/>
      <c r="V102" s="50"/>
      <c r="W102" s="47"/>
      <c r="X102" s="47"/>
      <c r="Y102" s="47"/>
      <c r="Z102" s="49"/>
      <c r="AA102" s="49"/>
      <c r="AB102" s="20"/>
    </row>
    <row r="103" spans="1:28" ht="15.75" customHeight="1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8"/>
      <c r="K103" s="47"/>
      <c r="L103" s="47"/>
      <c r="M103" s="47"/>
      <c r="N103" s="47"/>
      <c r="O103" s="47"/>
      <c r="P103" s="47"/>
      <c r="Q103" s="47"/>
      <c r="R103" s="47"/>
      <c r="S103" s="49"/>
      <c r="T103" s="49"/>
      <c r="U103" s="47"/>
      <c r="V103" s="50"/>
      <c r="W103" s="47"/>
      <c r="X103" s="47"/>
      <c r="Y103" s="47"/>
      <c r="Z103" s="49"/>
      <c r="AA103" s="49"/>
      <c r="AB103" s="20"/>
    </row>
    <row r="104" spans="1:28" ht="15.75" customHeight="1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8"/>
      <c r="K104" s="47"/>
      <c r="L104" s="47"/>
      <c r="M104" s="47"/>
      <c r="N104" s="47"/>
      <c r="O104" s="47"/>
      <c r="P104" s="47"/>
      <c r="Q104" s="47"/>
      <c r="R104" s="47"/>
      <c r="S104" s="49"/>
      <c r="T104" s="49"/>
      <c r="U104" s="47"/>
      <c r="V104" s="50"/>
      <c r="W104" s="47"/>
      <c r="X104" s="47"/>
      <c r="Y104" s="47"/>
      <c r="Z104" s="49"/>
      <c r="AA104" s="49"/>
      <c r="AB104" s="20"/>
    </row>
    <row r="105" spans="1:28" ht="15.75" customHeight="1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8"/>
      <c r="K105" s="47"/>
      <c r="L105" s="47"/>
      <c r="M105" s="47"/>
      <c r="N105" s="47"/>
      <c r="O105" s="47"/>
      <c r="P105" s="47"/>
      <c r="Q105" s="47"/>
      <c r="R105" s="47"/>
      <c r="S105" s="49"/>
      <c r="T105" s="49"/>
      <c r="U105" s="47"/>
      <c r="V105" s="50"/>
      <c r="W105" s="47"/>
      <c r="X105" s="47"/>
      <c r="Y105" s="47"/>
      <c r="Z105" s="49"/>
      <c r="AA105" s="49"/>
      <c r="AB105" s="20"/>
    </row>
    <row r="106" spans="1:28" ht="15.75" customHeight="1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8"/>
      <c r="K106" s="47"/>
      <c r="L106" s="47"/>
      <c r="M106" s="47"/>
      <c r="N106" s="47"/>
      <c r="O106" s="47"/>
      <c r="P106" s="47"/>
      <c r="Q106" s="47"/>
      <c r="R106" s="47"/>
      <c r="S106" s="49"/>
      <c r="T106" s="49"/>
      <c r="U106" s="47"/>
      <c r="V106" s="50"/>
      <c r="W106" s="47"/>
      <c r="X106" s="47"/>
      <c r="Y106" s="47"/>
      <c r="Z106" s="49"/>
      <c r="AA106" s="49"/>
      <c r="AB106" s="20"/>
    </row>
    <row r="107" spans="1:28" ht="15.75" customHeight="1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8"/>
      <c r="K107" s="47"/>
      <c r="L107" s="47"/>
      <c r="M107" s="47"/>
      <c r="N107" s="47"/>
      <c r="O107" s="47"/>
      <c r="P107" s="47"/>
      <c r="Q107" s="47"/>
      <c r="R107" s="47"/>
      <c r="S107" s="49"/>
      <c r="T107" s="49"/>
      <c r="U107" s="47"/>
      <c r="V107" s="50"/>
      <c r="W107" s="47"/>
      <c r="X107" s="47"/>
      <c r="Y107" s="47"/>
      <c r="Z107" s="49"/>
      <c r="AA107" s="49"/>
      <c r="AB107" s="20"/>
    </row>
    <row r="108" spans="1:28" ht="15.75" customHeight="1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8"/>
      <c r="K108" s="47"/>
      <c r="L108" s="47"/>
      <c r="M108" s="47"/>
      <c r="N108" s="47"/>
      <c r="O108" s="47"/>
      <c r="P108" s="47"/>
      <c r="Q108" s="47"/>
      <c r="R108" s="47"/>
      <c r="S108" s="49"/>
      <c r="T108" s="49"/>
      <c r="U108" s="47"/>
      <c r="V108" s="50"/>
      <c r="W108" s="47"/>
      <c r="X108" s="47"/>
      <c r="Y108" s="47"/>
      <c r="Z108" s="49"/>
      <c r="AA108" s="49"/>
      <c r="AB108" s="20"/>
    </row>
    <row r="109" spans="1:28" ht="15.75" customHeight="1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8"/>
      <c r="K109" s="47"/>
      <c r="L109" s="47"/>
      <c r="M109" s="47"/>
      <c r="N109" s="47"/>
      <c r="O109" s="47"/>
      <c r="P109" s="47"/>
      <c r="Q109" s="47"/>
      <c r="R109" s="47"/>
      <c r="S109" s="49"/>
      <c r="T109" s="49"/>
      <c r="U109" s="47"/>
      <c r="V109" s="50"/>
      <c r="W109" s="47"/>
      <c r="X109" s="47"/>
      <c r="Y109" s="47"/>
      <c r="Z109" s="49"/>
      <c r="AA109" s="49"/>
      <c r="AB109" s="20"/>
    </row>
    <row r="110" spans="1:28" ht="15.75" customHeight="1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8"/>
      <c r="K110" s="47"/>
      <c r="L110" s="47"/>
      <c r="M110" s="47"/>
      <c r="N110" s="47"/>
      <c r="O110" s="47"/>
      <c r="P110" s="47"/>
      <c r="Q110" s="47"/>
      <c r="R110" s="47"/>
      <c r="S110" s="49"/>
      <c r="T110" s="49"/>
      <c r="U110" s="47"/>
      <c r="V110" s="50"/>
      <c r="W110" s="47"/>
      <c r="X110" s="47"/>
      <c r="Y110" s="47"/>
      <c r="Z110" s="49"/>
      <c r="AA110" s="49"/>
      <c r="AB110" s="20"/>
    </row>
    <row r="111" spans="1:28" ht="15.75" customHeight="1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8"/>
      <c r="K111" s="47"/>
      <c r="L111" s="47"/>
      <c r="M111" s="47"/>
      <c r="N111" s="47"/>
      <c r="O111" s="47"/>
      <c r="P111" s="47"/>
      <c r="Q111" s="47"/>
      <c r="R111" s="47"/>
      <c r="S111" s="49"/>
      <c r="T111" s="49"/>
      <c r="U111" s="47"/>
      <c r="V111" s="50"/>
      <c r="W111" s="47"/>
      <c r="X111" s="47"/>
      <c r="Y111" s="47"/>
      <c r="Z111" s="49"/>
      <c r="AA111" s="49"/>
      <c r="AB111" s="20"/>
    </row>
    <row r="112" spans="1:28" ht="15.75" customHeight="1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8"/>
      <c r="K112" s="47"/>
      <c r="L112" s="47"/>
      <c r="M112" s="47"/>
      <c r="N112" s="47"/>
      <c r="O112" s="47"/>
      <c r="P112" s="47"/>
      <c r="Q112" s="47"/>
      <c r="R112" s="47"/>
      <c r="S112" s="49"/>
      <c r="T112" s="49"/>
      <c r="U112" s="47"/>
      <c r="V112" s="50"/>
      <c r="W112" s="47"/>
      <c r="X112" s="47"/>
      <c r="Y112" s="47"/>
      <c r="Z112" s="49"/>
      <c r="AA112" s="49"/>
      <c r="AB112" s="20"/>
    </row>
    <row r="113" spans="1:28" ht="15.75" customHeight="1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8"/>
      <c r="K113" s="47"/>
      <c r="L113" s="47"/>
      <c r="M113" s="47"/>
      <c r="N113" s="47"/>
      <c r="O113" s="47"/>
      <c r="P113" s="47"/>
      <c r="Q113" s="47"/>
      <c r="R113" s="47"/>
      <c r="S113" s="49"/>
      <c r="T113" s="49"/>
      <c r="U113" s="47"/>
      <c r="V113" s="50"/>
      <c r="W113" s="47"/>
      <c r="X113" s="47"/>
      <c r="Y113" s="47"/>
      <c r="Z113" s="49"/>
      <c r="AA113" s="49"/>
      <c r="AB113" s="20"/>
    </row>
    <row r="114" spans="1:28" ht="15.75" customHeight="1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8"/>
      <c r="K114" s="47"/>
      <c r="L114" s="47"/>
      <c r="M114" s="47"/>
      <c r="N114" s="47"/>
      <c r="O114" s="47"/>
      <c r="P114" s="47"/>
      <c r="Q114" s="47"/>
      <c r="R114" s="47"/>
      <c r="S114" s="49"/>
      <c r="T114" s="49"/>
      <c r="U114" s="47"/>
      <c r="V114" s="50"/>
      <c r="W114" s="47"/>
      <c r="X114" s="47"/>
      <c r="Y114" s="47"/>
      <c r="Z114" s="49"/>
      <c r="AA114" s="49"/>
      <c r="AB114" s="20"/>
    </row>
    <row r="115" spans="1:28" ht="15.75" customHeight="1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8"/>
      <c r="K115" s="47"/>
      <c r="L115" s="47"/>
      <c r="M115" s="47"/>
      <c r="N115" s="47"/>
      <c r="O115" s="47"/>
      <c r="P115" s="47"/>
      <c r="Q115" s="47"/>
      <c r="R115" s="47"/>
      <c r="S115" s="49"/>
      <c r="T115" s="49"/>
      <c r="U115" s="47"/>
      <c r="V115" s="50"/>
      <c r="W115" s="47"/>
      <c r="X115" s="47"/>
      <c r="Y115" s="47"/>
      <c r="Z115" s="49"/>
      <c r="AA115" s="49"/>
      <c r="AB115" s="20"/>
    </row>
    <row r="116" spans="1:28" ht="15.75" customHeight="1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8"/>
      <c r="K116" s="47"/>
      <c r="L116" s="47"/>
      <c r="M116" s="47"/>
      <c r="N116" s="47"/>
      <c r="O116" s="47"/>
      <c r="P116" s="47"/>
      <c r="Q116" s="47"/>
      <c r="R116" s="47"/>
      <c r="S116" s="49"/>
      <c r="T116" s="49"/>
      <c r="U116" s="47"/>
      <c r="V116" s="50"/>
      <c r="W116" s="47"/>
      <c r="X116" s="47"/>
      <c r="Y116" s="47"/>
      <c r="Z116" s="49"/>
      <c r="AA116" s="49"/>
      <c r="AB116" s="20"/>
    </row>
    <row r="117" spans="1:28" ht="15.75" customHeight="1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8"/>
      <c r="K117" s="47"/>
      <c r="L117" s="47"/>
      <c r="M117" s="47"/>
      <c r="N117" s="47"/>
      <c r="O117" s="47"/>
      <c r="P117" s="47"/>
      <c r="Q117" s="47"/>
      <c r="R117" s="47"/>
      <c r="S117" s="49"/>
      <c r="T117" s="49"/>
      <c r="U117" s="47"/>
      <c r="V117" s="50"/>
      <c r="W117" s="47"/>
      <c r="X117" s="47"/>
      <c r="Y117" s="47"/>
      <c r="Z117" s="49"/>
      <c r="AA117" s="49"/>
      <c r="AB117" s="20"/>
    </row>
    <row r="118" spans="1:28" ht="15.75" customHeight="1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8"/>
      <c r="K118" s="47"/>
      <c r="L118" s="47"/>
      <c r="M118" s="47"/>
      <c r="N118" s="47"/>
      <c r="O118" s="47"/>
      <c r="P118" s="47"/>
      <c r="Q118" s="47"/>
      <c r="R118" s="47"/>
      <c r="S118" s="49"/>
      <c r="T118" s="49"/>
      <c r="U118" s="47"/>
      <c r="V118" s="50"/>
      <c r="W118" s="47"/>
      <c r="X118" s="47"/>
      <c r="Y118" s="47"/>
      <c r="Z118" s="49"/>
      <c r="AA118" s="49"/>
      <c r="AB118" s="20"/>
    </row>
    <row r="119" spans="1:28" ht="15.75" customHeight="1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8"/>
      <c r="K119" s="47"/>
      <c r="L119" s="47"/>
      <c r="M119" s="47"/>
      <c r="N119" s="47"/>
      <c r="O119" s="47"/>
      <c r="P119" s="47"/>
      <c r="Q119" s="47"/>
      <c r="R119" s="47"/>
      <c r="S119" s="49"/>
      <c r="T119" s="49"/>
      <c r="U119" s="47"/>
      <c r="V119" s="50"/>
      <c r="W119" s="47"/>
      <c r="X119" s="47"/>
      <c r="Y119" s="47"/>
      <c r="Z119" s="49"/>
      <c r="AA119" s="49"/>
      <c r="AB119" s="20"/>
    </row>
    <row r="120" spans="1:28" ht="15.75" customHeight="1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8"/>
      <c r="K120" s="47"/>
      <c r="L120" s="47"/>
      <c r="M120" s="47"/>
      <c r="N120" s="47"/>
      <c r="O120" s="47"/>
      <c r="P120" s="47"/>
      <c r="Q120" s="47"/>
      <c r="R120" s="47"/>
      <c r="S120" s="49"/>
      <c r="T120" s="49"/>
      <c r="U120" s="47"/>
      <c r="V120" s="50"/>
      <c r="W120" s="47"/>
      <c r="X120" s="47"/>
      <c r="Y120" s="47"/>
      <c r="Z120" s="49"/>
      <c r="AA120" s="49"/>
      <c r="AB120" s="20"/>
    </row>
    <row r="121" spans="1:28" ht="15.75" customHeight="1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8"/>
      <c r="K121" s="47"/>
      <c r="L121" s="47"/>
      <c r="M121" s="47"/>
      <c r="N121" s="47"/>
      <c r="O121" s="47"/>
      <c r="P121" s="47"/>
      <c r="Q121" s="47"/>
      <c r="R121" s="47"/>
      <c r="S121" s="49"/>
      <c r="T121" s="49"/>
      <c r="U121" s="47"/>
      <c r="V121" s="50"/>
      <c r="W121" s="47"/>
      <c r="X121" s="47"/>
      <c r="Y121" s="47"/>
      <c r="Z121" s="49"/>
      <c r="AA121" s="49"/>
      <c r="AB121" s="20"/>
    </row>
    <row r="122" spans="1:28" ht="15.75" customHeight="1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8"/>
      <c r="K122" s="47"/>
      <c r="L122" s="47"/>
      <c r="M122" s="47"/>
      <c r="N122" s="47"/>
      <c r="O122" s="47"/>
      <c r="P122" s="47"/>
      <c r="Q122" s="47"/>
      <c r="R122" s="47"/>
      <c r="S122" s="49"/>
      <c r="T122" s="49"/>
      <c r="U122" s="47"/>
      <c r="V122" s="50"/>
      <c r="W122" s="47"/>
      <c r="X122" s="47"/>
      <c r="Y122" s="47"/>
      <c r="Z122" s="49"/>
      <c r="AA122" s="49"/>
      <c r="AB122" s="20"/>
    </row>
    <row r="123" spans="1:28" ht="15.75" customHeight="1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8"/>
      <c r="K123" s="47"/>
      <c r="L123" s="47"/>
      <c r="M123" s="47"/>
      <c r="N123" s="47"/>
      <c r="O123" s="47"/>
      <c r="P123" s="47"/>
      <c r="Q123" s="47"/>
      <c r="R123" s="47"/>
      <c r="S123" s="49"/>
      <c r="T123" s="49"/>
      <c r="U123" s="47"/>
      <c r="V123" s="50"/>
      <c r="W123" s="47"/>
      <c r="X123" s="47"/>
      <c r="Y123" s="47"/>
      <c r="Z123" s="49"/>
      <c r="AA123" s="49"/>
      <c r="AB123" s="20"/>
    </row>
    <row r="124" spans="1:28" ht="15.75" customHeight="1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8"/>
      <c r="K124" s="47"/>
      <c r="L124" s="47"/>
      <c r="M124" s="47"/>
      <c r="N124" s="47"/>
      <c r="O124" s="47"/>
      <c r="P124" s="47"/>
      <c r="Q124" s="47"/>
      <c r="R124" s="47"/>
      <c r="S124" s="49"/>
      <c r="T124" s="49"/>
      <c r="U124" s="47"/>
      <c r="V124" s="50"/>
      <c r="W124" s="47"/>
      <c r="X124" s="47"/>
      <c r="Y124" s="47"/>
      <c r="Z124" s="49"/>
      <c r="AA124" s="49"/>
      <c r="AB124" s="20"/>
    </row>
    <row r="125" spans="1:28" ht="15.75" customHeight="1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8"/>
      <c r="K125" s="47"/>
      <c r="L125" s="47"/>
      <c r="M125" s="47"/>
      <c r="N125" s="47"/>
      <c r="O125" s="47"/>
      <c r="P125" s="47"/>
      <c r="Q125" s="47"/>
      <c r="R125" s="47"/>
      <c r="S125" s="49"/>
      <c r="T125" s="49"/>
      <c r="U125" s="47"/>
      <c r="V125" s="50"/>
      <c r="W125" s="47"/>
      <c r="X125" s="47"/>
      <c r="Y125" s="47"/>
      <c r="Z125" s="49"/>
      <c r="AA125" s="49"/>
      <c r="AB125" s="20"/>
    </row>
    <row r="126" spans="1:28" ht="15.75" customHeight="1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8"/>
      <c r="K126" s="47"/>
      <c r="L126" s="47"/>
      <c r="M126" s="47"/>
      <c r="N126" s="47"/>
      <c r="O126" s="47"/>
      <c r="P126" s="47"/>
      <c r="Q126" s="47"/>
      <c r="R126" s="47"/>
      <c r="S126" s="49"/>
      <c r="T126" s="49"/>
      <c r="U126" s="47"/>
      <c r="V126" s="50"/>
      <c r="W126" s="47"/>
      <c r="X126" s="47"/>
      <c r="Y126" s="47"/>
      <c r="Z126" s="49"/>
      <c r="AA126" s="49"/>
      <c r="AB126" s="20"/>
    </row>
    <row r="127" spans="1:28" ht="15.75" customHeight="1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8"/>
      <c r="K127" s="47"/>
      <c r="L127" s="47"/>
      <c r="M127" s="47"/>
      <c r="N127" s="47"/>
      <c r="O127" s="47"/>
      <c r="P127" s="47"/>
      <c r="Q127" s="47"/>
      <c r="R127" s="47"/>
      <c r="S127" s="49"/>
      <c r="T127" s="49"/>
      <c r="U127" s="47"/>
      <c r="V127" s="50"/>
      <c r="W127" s="47"/>
      <c r="X127" s="47"/>
      <c r="Y127" s="47"/>
      <c r="Z127" s="49"/>
      <c r="AA127" s="49"/>
      <c r="AB127" s="20"/>
    </row>
    <row r="128" spans="1:28" ht="15.75" customHeight="1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8"/>
      <c r="K128" s="47"/>
      <c r="L128" s="47"/>
      <c r="M128" s="47"/>
      <c r="N128" s="47"/>
      <c r="O128" s="47"/>
      <c r="P128" s="47"/>
      <c r="Q128" s="47"/>
      <c r="R128" s="47"/>
      <c r="S128" s="49"/>
      <c r="T128" s="49"/>
      <c r="U128" s="47"/>
      <c r="V128" s="50"/>
      <c r="W128" s="47"/>
      <c r="X128" s="47"/>
      <c r="Y128" s="47"/>
      <c r="Z128" s="49"/>
      <c r="AA128" s="49"/>
      <c r="AB128" s="20"/>
    </row>
    <row r="129" spans="1:28" ht="15.75" customHeight="1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8"/>
      <c r="K129" s="47"/>
      <c r="L129" s="47"/>
      <c r="M129" s="47"/>
      <c r="N129" s="47"/>
      <c r="O129" s="47"/>
      <c r="P129" s="47"/>
      <c r="Q129" s="47"/>
      <c r="R129" s="47"/>
      <c r="S129" s="49"/>
      <c r="T129" s="49"/>
      <c r="U129" s="47"/>
      <c r="V129" s="50"/>
      <c r="W129" s="47"/>
      <c r="X129" s="47"/>
      <c r="Y129" s="47"/>
      <c r="Z129" s="49"/>
      <c r="AA129" s="49"/>
      <c r="AB129" s="20"/>
    </row>
    <row r="130" spans="1:28" ht="15.75" customHeight="1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8"/>
      <c r="K130" s="47"/>
      <c r="L130" s="47"/>
      <c r="M130" s="47"/>
      <c r="N130" s="47"/>
      <c r="O130" s="47"/>
      <c r="P130" s="47"/>
      <c r="Q130" s="47"/>
      <c r="R130" s="47"/>
      <c r="S130" s="49"/>
      <c r="T130" s="49"/>
      <c r="U130" s="47"/>
      <c r="V130" s="50"/>
      <c r="W130" s="47"/>
      <c r="X130" s="47"/>
      <c r="Y130" s="47"/>
      <c r="Z130" s="49"/>
      <c r="AA130" s="49"/>
      <c r="AB130" s="20"/>
    </row>
    <row r="131" spans="1:28" ht="15.75" customHeight="1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8"/>
      <c r="K131" s="47"/>
      <c r="L131" s="47"/>
      <c r="M131" s="47"/>
      <c r="N131" s="47"/>
      <c r="O131" s="47"/>
      <c r="P131" s="47"/>
      <c r="Q131" s="47"/>
      <c r="R131" s="47"/>
      <c r="S131" s="49"/>
      <c r="T131" s="49"/>
      <c r="U131" s="47"/>
      <c r="V131" s="50"/>
      <c r="W131" s="47"/>
      <c r="X131" s="47"/>
      <c r="Y131" s="47"/>
      <c r="Z131" s="49"/>
      <c r="AA131" s="49"/>
      <c r="AB131" s="20"/>
    </row>
    <row r="132" spans="1:28" ht="15.75" customHeight="1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8"/>
      <c r="K132" s="47"/>
      <c r="L132" s="47"/>
      <c r="M132" s="47"/>
      <c r="N132" s="47"/>
      <c r="O132" s="47"/>
      <c r="P132" s="47"/>
      <c r="Q132" s="47"/>
      <c r="R132" s="47"/>
      <c r="S132" s="49"/>
      <c r="T132" s="49"/>
      <c r="U132" s="47"/>
      <c r="V132" s="50"/>
      <c r="W132" s="47"/>
      <c r="X132" s="47"/>
      <c r="Y132" s="47"/>
      <c r="Z132" s="49"/>
      <c r="AA132" s="49"/>
      <c r="AB132" s="20"/>
    </row>
    <row r="133" spans="1:28" ht="15.75" customHeight="1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8"/>
      <c r="K133" s="47"/>
      <c r="L133" s="47"/>
      <c r="M133" s="47"/>
      <c r="N133" s="47"/>
      <c r="O133" s="47"/>
      <c r="P133" s="47"/>
      <c r="Q133" s="47"/>
      <c r="R133" s="47"/>
      <c r="S133" s="49"/>
      <c r="T133" s="49"/>
      <c r="U133" s="47"/>
      <c r="V133" s="50"/>
      <c r="W133" s="47"/>
      <c r="X133" s="47"/>
      <c r="Y133" s="47"/>
      <c r="Z133" s="49"/>
      <c r="AA133" s="49"/>
      <c r="AB133" s="20"/>
    </row>
    <row r="134" spans="1:28" ht="15.75" customHeight="1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8"/>
      <c r="K134" s="47"/>
      <c r="L134" s="47"/>
      <c r="M134" s="47"/>
      <c r="N134" s="47"/>
      <c r="O134" s="47"/>
      <c r="P134" s="47"/>
      <c r="Q134" s="47"/>
      <c r="R134" s="47"/>
      <c r="S134" s="49"/>
      <c r="T134" s="49"/>
      <c r="U134" s="47"/>
      <c r="V134" s="50"/>
      <c r="W134" s="47"/>
      <c r="X134" s="47"/>
      <c r="Y134" s="47"/>
      <c r="Z134" s="49"/>
      <c r="AA134" s="49"/>
      <c r="AB134" s="20"/>
    </row>
    <row r="135" spans="1:28" ht="15.75" customHeight="1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8"/>
      <c r="K135" s="47"/>
      <c r="L135" s="47"/>
      <c r="M135" s="47"/>
      <c r="N135" s="47"/>
      <c r="O135" s="47"/>
      <c r="P135" s="47"/>
      <c r="Q135" s="47"/>
      <c r="R135" s="47"/>
      <c r="S135" s="49"/>
      <c r="T135" s="49"/>
      <c r="U135" s="47"/>
      <c r="V135" s="50"/>
      <c r="W135" s="47"/>
      <c r="X135" s="47"/>
      <c r="Y135" s="47"/>
      <c r="Z135" s="49"/>
      <c r="AA135" s="49"/>
      <c r="AB135" s="20"/>
    </row>
    <row r="136" spans="1:28" ht="15.75" customHeight="1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8"/>
      <c r="K136" s="47"/>
      <c r="L136" s="47"/>
      <c r="M136" s="47"/>
      <c r="N136" s="47"/>
      <c r="O136" s="47"/>
      <c r="P136" s="47"/>
      <c r="Q136" s="47"/>
      <c r="R136" s="47"/>
      <c r="S136" s="49"/>
      <c r="T136" s="49"/>
      <c r="U136" s="47"/>
      <c r="V136" s="50"/>
      <c r="W136" s="47"/>
      <c r="X136" s="47"/>
      <c r="Y136" s="47"/>
      <c r="Z136" s="49"/>
      <c r="AA136" s="49"/>
      <c r="AB136" s="20"/>
    </row>
    <row r="137" spans="1:28" ht="15.75" customHeight="1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8"/>
      <c r="K137" s="47"/>
      <c r="L137" s="47"/>
      <c r="M137" s="47"/>
      <c r="N137" s="47"/>
      <c r="O137" s="47"/>
      <c r="P137" s="47"/>
      <c r="Q137" s="47"/>
      <c r="R137" s="47"/>
      <c r="S137" s="49"/>
      <c r="T137" s="49"/>
      <c r="U137" s="47"/>
      <c r="V137" s="50"/>
      <c r="W137" s="47"/>
      <c r="X137" s="47"/>
      <c r="Y137" s="47"/>
      <c r="Z137" s="49"/>
      <c r="AA137" s="49"/>
      <c r="AB137" s="20"/>
    </row>
    <row r="138" spans="1:28" ht="15.75" customHeight="1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8"/>
      <c r="K138" s="47"/>
      <c r="L138" s="47"/>
      <c r="M138" s="47"/>
      <c r="N138" s="47"/>
      <c r="O138" s="47"/>
      <c r="P138" s="47"/>
      <c r="Q138" s="47"/>
      <c r="R138" s="47"/>
      <c r="S138" s="49"/>
      <c r="T138" s="49"/>
      <c r="U138" s="47"/>
      <c r="V138" s="50"/>
      <c r="W138" s="47"/>
      <c r="X138" s="47"/>
      <c r="Y138" s="47"/>
      <c r="Z138" s="49"/>
      <c r="AA138" s="49"/>
      <c r="AB138" s="20"/>
    </row>
    <row r="139" spans="1:28" ht="15.75" customHeight="1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8"/>
      <c r="K139" s="47"/>
      <c r="L139" s="47"/>
      <c r="M139" s="47"/>
      <c r="N139" s="47"/>
      <c r="O139" s="47"/>
      <c r="P139" s="47"/>
      <c r="Q139" s="47"/>
      <c r="R139" s="47"/>
      <c r="S139" s="49"/>
      <c r="T139" s="49"/>
      <c r="U139" s="47"/>
      <c r="V139" s="50"/>
      <c r="W139" s="47"/>
      <c r="X139" s="47"/>
      <c r="Y139" s="47"/>
      <c r="Z139" s="49"/>
      <c r="AA139" s="49"/>
      <c r="AB139" s="20"/>
    </row>
    <row r="140" spans="1:28" ht="15.75" customHeight="1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8"/>
      <c r="K140" s="47"/>
      <c r="L140" s="47"/>
      <c r="M140" s="47"/>
      <c r="N140" s="47"/>
      <c r="O140" s="47"/>
      <c r="P140" s="47"/>
      <c r="Q140" s="47"/>
      <c r="R140" s="47"/>
      <c r="S140" s="49"/>
      <c r="T140" s="49"/>
      <c r="U140" s="47"/>
      <c r="V140" s="50"/>
      <c r="W140" s="47"/>
      <c r="X140" s="47"/>
      <c r="Y140" s="47"/>
      <c r="Z140" s="49"/>
      <c r="AA140" s="49"/>
      <c r="AB140" s="20"/>
    </row>
    <row r="141" spans="1:28" ht="15.75" customHeight="1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8"/>
      <c r="K141" s="47"/>
      <c r="L141" s="47"/>
      <c r="M141" s="47"/>
      <c r="N141" s="47"/>
      <c r="O141" s="47"/>
      <c r="P141" s="47"/>
      <c r="Q141" s="47"/>
      <c r="R141" s="47"/>
      <c r="S141" s="49"/>
      <c r="T141" s="49"/>
      <c r="U141" s="47"/>
      <c r="V141" s="50"/>
      <c r="W141" s="47"/>
      <c r="X141" s="47"/>
      <c r="Y141" s="47"/>
      <c r="Z141" s="49"/>
      <c r="AA141" s="49"/>
      <c r="AB141" s="20"/>
    </row>
    <row r="142" spans="1:28" ht="15.75" customHeight="1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8"/>
      <c r="K142" s="47"/>
      <c r="L142" s="47"/>
      <c r="M142" s="47"/>
      <c r="N142" s="47"/>
      <c r="O142" s="47"/>
      <c r="P142" s="47"/>
      <c r="Q142" s="47"/>
      <c r="R142" s="47"/>
      <c r="S142" s="49"/>
      <c r="T142" s="49"/>
      <c r="U142" s="47"/>
      <c r="V142" s="50"/>
      <c r="W142" s="47"/>
      <c r="X142" s="47"/>
      <c r="Y142" s="47"/>
      <c r="Z142" s="49"/>
      <c r="AA142" s="49"/>
      <c r="AB142" s="20"/>
    </row>
    <row r="143" spans="1:28" ht="15.75" customHeight="1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8"/>
      <c r="K143" s="47"/>
      <c r="L143" s="47"/>
      <c r="M143" s="47"/>
      <c r="N143" s="47"/>
      <c r="O143" s="47"/>
      <c r="P143" s="47"/>
      <c r="Q143" s="47"/>
      <c r="R143" s="47"/>
      <c r="S143" s="49"/>
      <c r="T143" s="49"/>
      <c r="U143" s="47"/>
      <c r="V143" s="50"/>
      <c r="W143" s="47"/>
      <c r="X143" s="47"/>
      <c r="Y143" s="47"/>
      <c r="Z143" s="49"/>
      <c r="AA143" s="49"/>
      <c r="AB143" s="20"/>
    </row>
    <row r="144" spans="1:28" ht="15.75" customHeight="1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8"/>
      <c r="K144" s="47"/>
      <c r="L144" s="47"/>
      <c r="M144" s="47"/>
      <c r="N144" s="47"/>
      <c r="O144" s="47"/>
      <c r="P144" s="47"/>
      <c r="Q144" s="47"/>
      <c r="R144" s="47"/>
      <c r="S144" s="49"/>
      <c r="T144" s="49"/>
      <c r="U144" s="47"/>
      <c r="V144" s="50"/>
      <c r="W144" s="47"/>
      <c r="X144" s="47"/>
      <c r="Y144" s="47"/>
      <c r="Z144" s="49"/>
      <c r="AA144" s="49"/>
      <c r="AB144" s="20"/>
    </row>
    <row r="145" spans="1:28" ht="15.75" customHeight="1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8"/>
      <c r="K145" s="47"/>
      <c r="L145" s="47"/>
      <c r="M145" s="47"/>
      <c r="N145" s="47"/>
      <c r="O145" s="47"/>
      <c r="P145" s="47"/>
      <c r="Q145" s="47"/>
      <c r="R145" s="47"/>
      <c r="S145" s="49"/>
      <c r="T145" s="49"/>
      <c r="U145" s="47"/>
      <c r="V145" s="50"/>
      <c r="W145" s="47"/>
      <c r="X145" s="47"/>
      <c r="Y145" s="47"/>
      <c r="Z145" s="49"/>
      <c r="AA145" s="49"/>
      <c r="AB145" s="20"/>
    </row>
    <row r="146" spans="1:28" ht="15.75" customHeight="1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8"/>
      <c r="K146" s="47"/>
      <c r="L146" s="47"/>
      <c r="M146" s="47"/>
      <c r="N146" s="47"/>
      <c r="O146" s="47"/>
      <c r="P146" s="47"/>
      <c r="Q146" s="47"/>
      <c r="R146" s="47"/>
      <c r="S146" s="49"/>
      <c r="T146" s="49"/>
      <c r="U146" s="47"/>
      <c r="V146" s="50"/>
      <c r="W146" s="47"/>
      <c r="X146" s="47"/>
      <c r="Y146" s="47"/>
      <c r="Z146" s="49"/>
      <c r="AA146" s="49"/>
      <c r="AB146" s="20"/>
    </row>
    <row r="147" spans="1:28" ht="15.75" customHeight="1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8"/>
      <c r="K147" s="47"/>
      <c r="L147" s="47"/>
      <c r="M147" s="47"/>
      <c r="N147" s="47"/>
      <c r="O147" s="47"/>
      <c r="P147" s="47"/>
      <c r="Q147" s="47"/>
      <c r="R147" s="47"/>
      <c r="S147" s="49"/>
      <c r="T147" s="49"/>
      <c r="U147" s="47"/>
      <c r="V147" s="50"/>
      <c r="W147" s="47"/>
      <c r="X147" s="47"/>
      <c r="Y147" s="47"/>
      <c r="Z147" s="49"/>
      <c r="AA147" s="49"/>
      <c r="AB147" s="20"/>
    </row>
    <row r="148" spans="1:28" ht="15.75" customHeight="1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8"/>
      <c r="K148" s="47"/>
      <c r="L148" s="47"/>
      <c r="M148" s="47"/>
      <c r="N148" s="47"/>
      <c r="O148" s="47"/>
      <c r="P148" s="47"/>
      <c r="Q148" s="47"/>
      <c r="R148" s="47"/>
      <c r="S148" s="49"/>
      <c r="T148" s="49"/>
      <c r="U148" s="47"/>
      <c r="V148" s="50"/>
      <c r="W148" s="47"/>
      <c r="X148" s="47"/>
      <c r="Y148" s="47"/>
      <c r="Z148" s="49"/>
      <c r="AA148" s="49"/>
      <c r="AB148" s="20"/>
    </row>
    <row r="149" spans="1:28" ht="15.75" customHeight="1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8"/>
      <c r="K149" s="47"/>
      <c r="L149" s="47"/>
      <c r="M149" s="47"/>
      <c r="N149" s="47"/>
      <c r="O149" s="47"/>
      <c r="P149" s="47"/>
      <c r="Q149" s="47"/>
      <c r="R149" s="47"/>
      <c r="S149" s="49"/>
      <c r="T149" s="49"/>
      <c r="U149" s="47"/>
      <c r="V149" s="50"/>
      <c r="W149" s="47"/>
      <c r="X149" s="47"/>
      <c r="Y149" s="47"/>
      <c r="Z149" s="49"/>
      <c r="AA149" s="49"/>
      <c r="AB149" s="20"/>
    </row>
    <row r="150" spans="1:28" ht="15.75" customHeight="1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8"/>
      <c r="K150" s="47"/>
      <c r="L150" s="47"/>
      <c r="M150" s="47"/>
      <c r="N150" s="47"/>
      <c r="O150" s="47"/>
      <c r="P150" s="47"/>
      <c r="Q150" s="47"/>
      <c r="R150" s="47"/>
      <c r="S150" s="49"/>
      <c r="T150" s="49"/>
      <c r="U150" s="47"/>
      <c r="V150" s="50"/>
      <c r="W150" s="47"/>
      <c r="X150" s="47"/>
      <c r="Y150" s="47"/>
      <c r="Z150" s="49"/>
      <c r="AA150" s="49"/>
      <c r="AB150" s="20"/>
    </row>
    <row r="151" spans="1:28" ht="15.75" customHeight="1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8"/>
      <c r="K151" s="47"/>
      <c r="L151" s="47"/>
      <c r="M151" s="47"/>
      <c r="N151" s="47"/>
      <c r="O151" s="47"/>
      <c r="P151" s="47"/>
      <c r="Q151" s="47"/>
      <c r="R151" s="47"/>
      <c r="S151" s="49"/>
      <c r="T151" s="49"/>
      <c r="U151" s="47"/>
      <c r="V151" s="50"/>
      <c r="W151" s="47"/>
      <c r="X151" s="47"/>
      <c r="Y151" s="47"/>
      <c r="Z151" s="49"/>
      <c r="AA151" s="49"/>
      <c r="AB151" s="20"/>
    </row>
    <row r="152" spans="1:28" ht="15.75" customHeight="1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8"/>
      <c r="K152" s="47"/>
      <c r="L152" s="47"/>
      <c r="M152" s="47"/>
      <c r="N152" s="47"/>
      <c r="O152" s="47"/>
      <c r="P152" s="47"/>
      <c r="Q152" s="47"/>
      <c r="R152" s="47"/>
      <c r="S152" s="49"/>
      <c r="T152" s="49"/>
      <c r="U152" s="47"/>
      <c r="V152" s="50"/>
      <c r="W152" s="47"/>
      <c r="X152" s="47"/>
      <c r="Y152" s="47"/>
      <c r="Z152" s="49"/>
      <c r="AA152" s="49"/>
      <c r="AB152" s="20"/>
    </row>
    <row r="153" spans="1:28" ht="15.75" customHeight="1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8"/>
      <c r="K153" s="47"/>
      <c r="L153" s="47"/>
      <c r="M153" s="47"/>
      <c r="N153" s="47"/>
      <c r="O153" s="47"/>
      <c r="P153" s="47"/>
      <c r="Q153" s="47"/>
      <c r="R153" s="47"/>
      <c r="S153" s="49"/>
      <c r="T153" s="49"/>
      <c r="U153" s="47"/>
      <c r="V153" s="50"/>
      <c r="W153" s="47"/>
      <c r="X153" s="47"/>
      <c r="Y153" s="47"/>
      <c r="Z153" s="49"/>
      <c r="AA153" s="49"/>
      <c r="AB153" s="20"/>
    </row>
    <row r="154" spans="1:28" ht="15.75" customHeight="1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8"/>
      <c r="K154" s="47"/>
      <c r="L154" s="47"/>
      <c r="M154" s="47"/>
      <c r="N154" s="47"/>
      <c r="O154" s="47"/>
      <c r="P154" s="47"/>
      <c r="Q154" s="47"/>
      <c r="R154" s="47"/>
      <c r="S154" s="49"/>
      <c r="T154" s="49"/>
      <c r="U154" s="47"/>
      <c r="V154" s="50"/>
      <c r="W154" s="47"/>
      <c r="X154" s="47"/>
      <c r="Y154" s="47"/>
      <c r="Z154" s="49"/>
      <c r="AA154" s="49"/>
      <c r="AB154" s="20"/>
    </row>
    <row r="155" spans="1:28" ht="15.75" customHeight="1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8"/>
      <c r="K155" s="47"/>
      <c r="L155" s="47"/>
      <c r="M155" s="47"/>
      <c r="N155" s="47"/>
      <c r="O155" s="47"/>
      <c r="P155" s="47"/>
      <c r="Q155" s="47"/>
      <c r="R155" s="47"/>
      <c r="S155" s="49"/>
      <c r="T155" s="49"/>
      <c r="U155" s="47"/>
      <c r="V155" s="50"/>
      <c r="W155" s="47"/>
      <c r="X155" s="47"/>
      <c r="Y155" s="47"/>
      <c r="Z155" s="49"/>
      <c r="AA155" s="49"/>
      <c r="AB155" s="20"/>
    </row>
    <row r="156" spans="1:28" ht="15.75" customHeight="1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8"/>
      <c r="K156" s="47"/>
      <c r="L156" s="47"/>
      <c r="M156" s="47"/>
      <c r="N156" s="47"/>
      <c r="O156" s="47"/>
      <c r="P156" s="47"/>
      <c r="Q156" s="47"/>
      <c r="R156" s="47"/>
      <c r="S156" s="49"/>
      <c r="T156" s="49"/>
      <c r="U156" s="47"/>
      <c r="V156" s="50"/>
      <c r="W156" s="47"/>
      <c r="X156" s="47"/>
      <c r="Y156" s="47"/>
      <c r="Z156" s="49"/>
      <c r="AA156" s="49"/>
      <c r="AB156" s="20"/>
    </row>
    <row r="157" spans="1:28" ht="15.75" customHeight="1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8"/>
      <c r="K157" s="47"/>
      <c r="L157" s="47"/>
      <c r="M157" s="47"/>
      <c r="N157" s="47"/>
      <c r="O157" s="47"/>
      <c r="P157" s="47"/>
      <c r="Q157" s="47"/>
      <c r="R157" s="47"/>
      <c r="S157" s="49"/>
      <c r="T157" s="49"/>
      <c r="U157" s="47"/>
      <c r="V157" s="50"/>
      <c r="W157" s="47"/>
      <c r="X157" s="47"/>
      <c r="Y157" s="47"/>
      <c r="Z157" s="49"/>
      <c r="AA157" s="49"/>
      <c r="AB157" s="20"/>
    </row>
    <row r="158" spans="1:28" ht="15.75" customHeight="1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8"/>
      <c r="K158" s="47"/>
      <c r="L158" s="47"/>
      <c r="M158" s="47"/>
      <c r="N158" s="47"/>
      <c r="O158" s="47"/>
      <c r="P158" s="47"/>
      <c r="Q158" s="47"/>
      <c r="R158" s="47"/>
      <c r="S158" s="49"/>
      <c r="T158" s="49"/>
      <c r="U158" s="47"/>
      <c r="V158" s="50"/>
      <c r="W158" s="47"/>
      <c r="X158" s="47"/>
      <c r="Y158" s="47"/>
      <c r="Z158" s="49"/>
      <c r="AA158" s="49"/>
      <c r="AB158" s="20"/>
    </row>
    <row r="159" spans="1:28" ht="15.75" customHeight="1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8"/>
      <c r="K159" s="47"/>
      <c r="L159" s="47"/>
      <c r="M159" s="47"/>
      <c r="N159" s="47"/>
      <c r="O159" s="47"/>
      <c r="P159" s="47"/>
      <c r="Q159" s="47"/>
      <c r="R159" s="47"/>
      <c r="S159" s="49"/>
      <c r="T159" s="49"/>
      <c r="U159" s="47"/>
      <c r="V159" s="50"/>
      <c r="W159" s="47"/>
      <c r="X159" s="47"/>
      <c r="Y159" s="47"/>
      <c r="Z159" s="49"/>
      <c r="AA159" s="49"/>
      <c r="AB159" s="20"/>
    </row>
    <row r="160" spans="1:28" ht="15.75" customHeight="1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8"/>
      <c r="K160" s="47"/>
      <c r="L160" s="47"/>
      <c r="M160" s="47"/>
      <c r="N160" s="47"/>
      <c r="O160" s="47"/>
      <c r="P160" s="47"/>
      <c r="Q160" s="47"/>
      <c r="R160" s="47"/>
      <c r="S160" s="49"/>
      <c r="T160" s="49"/>
      <c r="U160" s="47"/>
      <c r="V160" s="50"/>
      <c r="W160" s="47"/>
      <c r="X160" s="47"/>
      <c r="Y160" s="47"/>
      <c r="Z160" s="49"/>
      <c r="AA160" s="49"/>
      <c r="AB160" s="20"/>
    </row>
    <row r="161" spans="1:28" ht="15.75" customHeight="1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8"/>
      <c r="K161" s="47"/>
      <c r="L161" s="47"/>
      <c r="M161" s="47"/>
      <c r="N161" s="47"/>
      <c r="O161" s="47"/>
      <c r="P161" s="47"/>
      <c r="Q161" s="47"/>
      <c r="R161" s="47"/>
      <c r="S161" s="49"/>
      <c r="T161" s="49"/>
      <c r="U161" s="47"/>
      <c r="V161" s="50"/>
      <c r="W161" s="47"/>
      <c r="X161" s="47"/>
      <c r="Y161" s="47"/>
      <c r="Z161" s="49"/>
      <c r="AA161" s="49"/>
      <c r="AB161" s="20"/>
    </row>
    <row r="162" spans="1:28" ht="15.75" customHeight="1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8"/>
      <c r="K162" s="47"/>
      <c r="L162" s="47"/>
      <c r="M162" s="47"/>
      <c r="N162" s="47"/>
      <c r="O162" s="47"/>
      <c r="P162" s="47"/>
      <c r="Q162" s="47"/>
      <c r="R162" s="47"/>
      <c r="S162" s="49"/>
      <c r="T162" s="49"/>
      <c r="U162" s="47"/>
      <c r="V162" s="50"/>
      <c r="W162" s="47"/>
      <c r="X162" s="47"/>
      <c r="Y162" s="47"/>
      <c r="Z162" s="49"/>
      <c r="AA162" s="49"/>
      <c r="AB162" s="20"/>
    </row>
    <row r="163" spans="1:28" ht="15.75" customHeight="1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8"/>
      <c r="K163" s="47"/>
      <c r="L163" s="47"/>
      <c r="M163" s="47"/>
      <c r="N163" s="47"/>
      <c r="O163" s="47"/>
      <c r="P163" s="47"/>
      <c r="Q163" s="47"/>
      <c r="R163" s="47"/>
      <c r="S163" s="49"/>
      <c r="T163" s="49"/>
      <c r="U163" s="47"/>
      <c r="V163" s="50"/>
      <c r="W163" s="47"/>
      <c r="X163" s="47"/>
      <c r="Y163" s="47"/>
      <c r="Z163" s="49"/>
      <c r="AA163" s="49"/>
      <c r="AB163" s="20"/>
    </row>
    <row r="164" spans="1:28" ht="15.75" customHeight="1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8"/>
      <c r="K164" s="47"/>
      <c r="L164" s="47"/>
      <c r="M164" s="47"/>
      <c r="N164" s="47"/>
      <c r="O164" s="47"/>
      <c r="P164" s="47"/>
      <c r="Q164" s="47"/>
      <c r="R164" s="47"/>
      <c r="S164" s="49"/>
      <c r="T164" s="49"/>
      <c r="U164" s="47"/>
      <c r="V164" s="50"/>
      <c r="W164" s="47"/>
      <c r="X164" s="47"/>
      <c r="Y164" s="47"/>
      <c r="Z164" s="49"/>
      <c r="AA164" s="49"/>
      <c r="AB164" s="20"/>
    </row>
    <row r="165" spans="1:28" ht="15.75" customHeight="1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8"/>
      <c r="K165" s="47"/>
      <c r="L165" s="47"/>
      <c r="M165" s="47"/>
      <c r="N165" s="47"/>
      <c r="O165" s="47"/>
      <c r="P165" s="47"/>
      <c r="Q165" s="47"/>
      <c r="R165" s="47"/>
      <c r="S165" s="49"/>
      <c r="T165" s="49"/>
      <c r="U165" s="47"/>
      <c r="V165" s="50"/>
      <c r="W165" s="47"/>
      <c r="X165" s="47"/>
      <c r="Y165" s="47"/>
      <c r="Z165" s="49"/>
      <c r="AA165" s="49"/>
      <c r="AB165" s="20"/>
    </row>
    <row r="166" spans="1:28" ht="15.75" customHeight="1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8"/>
      <c r="K166" s="47"/>
      <c r="L166" s="47"/>
      <c r="M166" s="47"/>
      <c r="N166" s="47"/>
      <c r="O166" s="47"/>
      <c r="P166" s="47"/>
      <c r="Q166" s="47"/>
      <c r="R166" s="47"/>
      <c r="S166" s="49"/>
      <c r="T166" s="49"/>
      <c r="U166" s="47"/>
      <c r="V166" s="50"/>
      <c r="W166" s="47"/>
      <c r="X166" s="47"/>
      <c r="Y166" s="47"/>
      <c r="Z166" s="49"/>
      <c r="AA166" s="49"/>
      <c r="AB166" s="20"/>
    </row>
    <row r="167" spans="1:28" ht="15.75" customHeight="1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8"/>
      <c r="K167" s="47"/>
      <c r="L167" s="47"/>
      <c r="M167" s="47"/>
      <c r="N167" s="47"/>
      <c r="O167" s="47"/>
      <c r="P167" s="47"/>
      <c r="Q167" s="47"/>
      <c r="R167" s="47"/>
      <c r="S167" s="49"/>
      <c r="T167" s="49"/>
      <c r="U167" s="47"/>
      <c r="V167" s="50"/>
      <c r="W167" s="47"/>
      <c r="X167" s="47"/>
      <c r="Y167" s="47"/>
      <c r="Z167" s="49"/>
      <c r="AA167" s="49"/>
      <c r="AB167" s="20"/>
    </row>
    <row r="168" spans="1:28" ht="15.75" customHeight="1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8"/>
      <c r="K168" s="47"/>
      <c r="L168" s="47"/>
      <c r="M168" s="47"/>
      <c r="N168" s="47"/>
      <c r="O168" s="47"/>
      <c r="P168" s="47"/>
      <c r="Q168" s="47"/>
      <c r="R168" s="47"/>
      <c r="S168" s="49"/>
      <c r="T168" s="49"/>
      <c r="U168" s="47"/>
      <c r="V168" s="50"/>
      <c r="W168" s="47"/>
      <c r="X168" s="47"/>
      <c r="Y168" s="47"/>
      <c r="Z168" s="49"/>
      <c r="AA168" s="49"/>
      <c r="AB168" s="20"/>
    </row>
    <row r="169" spans="1:28" ht="15.75" customHeight="1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8"/>
      <c r="K169" s="47"/>
      <c r="L169" s="47"/>
      <c r="M169" s="47"/>
      <c r="N169" s="47"/>
      <c r="O169" s="47"/>
      <c r="P169" s="47"/>
      <c r="Q169" s="47"/>
      <c r="R169" s="47"/>
      <c r="S169" s="49"/>
      <c r="T169" s="49"/>
      <c r="U169" s="47"/>
      <c r="V169" s="50"/>
      <c r="W169" s="47"/>
      <c r="X169" s="47"/>
      <c r="Y169" s="47"/>
      <c r="Z169" s="49"/>
      <c r="AA169" s="49"/>
      <c r="AB169" s="20"/>
    </row>
    <row r="170" spans="1:28" ht="15.75" customHeight="1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8"/>
      <c r="K170" s="47"/>
      <c r="L170" s="47"/>
      <c r="M170" s="47"/>
      <c r="N170" s="47"/>
      <c r="O170" s="47"/>
      <c r="P170" s="47"/>
      <c r="Q170" s="47"/>
      <c r="R170" s="47"/>
      <c r="S170" s="49"/>
      <c r="T170" s="49"/>
      <c r="U170" s="47"/>
      <c r="V170" s="50"/>
      <c r="W170" s="47"/>
      <c r="X170" s="47"/>
      <c r="Y170" s="47"/>
      <c r="Z170" s="49"/>
      <c r="AA170" s="49"/>
      <c r="AB170" s="20"/>
    </row>
    <row r="171" spans="1:28" ht="15.75" customHeight="1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8"/>
      <c r="K171" s="47"/>
      <c r="L171" s="47"/>
      <c r="M171" s="47"/>
      <c r="N171" s="47"/>
      <c r="O171" s="47"/>
      <c r="P171" s="47"/>
      <c r="Q171" s="47"/>
      <c r="R171" s="47"/>
      <c r="S171" s="49"/>
      <c r="T171" s="49"/>
      <c r="U171" s="47"/>
      <c r="V171" s="50"/>
      <c r="W171" s="47"/>
      <c r="X171" s="47"/>
      <c r="Y171" s="47"/>
      <c r="Z171" s="49"/>
      <c r="AA171" s="49"/>
      <c r="AB171" s="20"/>
    </row>
    <row r="172" spans="1:28" ht="15.75" customHeight="1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8"/>
      <c r="K172" s="47"/>
      <c r="L172" s="47"/>
      <c r="M172" s="47"/>
      <c r="N172" s="47"/>
      <c r="O172" s="47"/>
      <c r="P172" s="47"/>
      <c r="Q172" s="47"/>
      <c r="R172" s="47"/>
      <c r="S172" s="49"/>
      <c r="T172" s="49"/>
      <c r="U172" s="47"/>
      <c r="V172" s="50"/>
      <c r="W172" s="47"/>
      <c r="X172" s="47"/>
      <c r="Y172" s="47"/>
      <c r="Z172" s="49"/>
      <c r="AA172" s="49"/>
      <c r="AB172" s="20"/>
    </row>
    <row r="173" spans="1:28" ht="15.75" customHeight="1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8"/>
      <c r="K173" s="47"/>
      <c r="L173" s="47"/>
      <c r="M173" s="47"/>
      <c r="N173" s="47"/>
      <c r="O173" s="47"/>
      <c r="P173" s="47"/>
      <c r="Q173" s="47"/>
      <c r="R173" s="47"/>
      <c r="S173" s="49"/>
      <c r="T173" s="49"/>
      <c r="U173" s="47"/>
      <c r="V173" s="50"/>
      <c r="W173" s="47"/>
      <c r="X173" s="47"/>
      <c r="Y173" s="47"/>
      <c r="Z173" s="49"/>
      <c r="AA173" s="49"/>
      <c r="AB173" s="20"/>
    </row>
    <row r="174" spans="1:28" ht="15.75" customHeight="1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8"/>
      <c r="K174" s="47"/>
      <c r="L174" s="47"/>
      <c r="M174" s="47"/>
      <c r="N174" s="47"/>
      <c r="O174" s="47"/>
      <c r="P174" s="47"/>
      <c r="Q174" s="47"/>
      <c r="R174" s="47"/>
      <c r="S174" s="49"/>
      <c r="T174" s="49"/>
      <c r="U174" s="47"/>
      <c r="V174" s="50"/>
      <c r="W174" s="47"/>
      <c r="X174" s="47"/>
      <c r="Y174" s="47"/>
      <c r="Z174" s="49"/>
      <c r="AA174" s="49"/>
      <c r="AB174" s="20"/>
    </row>
    <row r="175" spans="1:28" ht="15.75" customHeight="1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8"/>
      <c r="K175" s="47"/>
      <c r="L175" s="47"/>
      <c r="M175" s="47"/>
      <c r="N175" s="47"/>
      <c r="O175" s="47"/>
      <c r="P175" s="47"/>
      <c r="Q175" s="47"/>
      <c r="R175" s="47"/>
      <c r="S175" s="49"/>
      <c r="T175" s="49"/>
      <c r="U175" s="47"/>
      <c r="V175" s="50"/>
      <c r="W175" s="47"/>
      <c r="X175" s="47"/>
      <c r="Y175" s="47"/>
      <c r="Z175" s="49"/>
      <c r="AA175" s="49"/>
      <c r="AB175" s="20"/>
    </row>
    <row r="176" spans="1:28" ht="15.75" customHeight="1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8"/>
      <c r="K176" s="47"/>
      <c r="L176" s="47"/>
      <c r="M176" s="47"/>
      <c r="N176" s="47"/>
      <c r="O176" s="47"/>
      <c r="P176" s="47"/>
      <c r="Q176" s="47"/>
      <c r="R176" s="47"/>
      <c r="S176" s="49"/>
      <c r="T176" s="49"/>
      <c r="U176" s="47"/>
      <c r="V176" s="50"/>
      <c r="W176" s="47"/>
      <c r="X176" s="47"/>
      <c r="Y176" s="47"/>
      <c r="Z176" s="49"/>
      <c r="AA176" s="49"/>
      <c r="AB176" s="20"/>
    </row>
    <row r="177" spans="1:28" ht="15.75" customHeight="1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8"/>
      <c r="K177" s="47"/>
      <c r="L177" s="47"/>
      <c r="M177" s="47"/>
      <c r="N177" s="47"/>
      <c r="O177" s="47"/>
      <c r="P177" s="47"/>
      <c r="Q177" s="47"/>
      <c r="R177" s="47"/>
      <c r="S177" s="49"/>
      <c r="T177" s="49"/>
      <c r="U177" s="47"/>
      <c r="V177" s="50"/>
      <c r="W177" s="47"/>
      <c r="X177" s="47"/>
      <c r="Y177" s="47"/>
      <c r="Z177" s="49"/>
      <c r="AA177" s="49"/>
      <c r="AB177" s="20"/>
    </row>
    <row r="178" spans="1:28" ht="15.75" customHeight="1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8"/>
      <c r="K178" s="47"/>
      <c r="L178" s="47"/>
      <c r="M178" s="47"/>
      <c r="N178" s="47"/>
      <c r="O178" s="47"/>
      <c r="P178" s="47"/>
      <c r="Q178" s="47"/>
      <c r="R178" s="47"/>
      <c r="S178" s="49"/>
      <c r="T178" s="49"/>
      <c r="U178" s="47"/>
      <c r="V178" s="50"/>
      <c r="W178" s="47"/>
      <c r="X178" s="47"/>
      <c r="Y178" s="47"/>
      <c r="Z178" s="49"/>
      <c r="AA178" s="49"/>
      <c r="AB178" s="20"/>
    </row>
    <row r="179" spans="1:28" ht="15.75" customHeight="1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8"/>
      <c r="K179" s="47"/>
      <c r="L179" s="47"/>
      <c r="M179" s="47"/>
      <c r="N179" s="47"/>
      <c r="O179" s="47"/>
      <c r="P179" s="47"/>
      <c r="Q179" s="47"/>
      <c r="R179" s="47"/>
      <c r="S179" s="49"/>
      <c r="T179" s="49"/>
      <c r="U179" s="47"/>
      <c r="V179" s="50"/>
      <c r="W179" s="47"/>
      <c r="X179" s="47"/>
      <c r="Y179" s="47"/>
      <c r="Z179" s="49"/>
      <c r="AA179" s="49"/>
      <c r="AB179" s="20"/>
    </row>
    <row r="180" spans="1:28" ht="15.75" customHeight="1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8"/>
      <c r="K180" s="47"/>
      <c r="L180" s="47"/>
      <c r="M180" s="47"/>
      <c r="N180" s="47"/>
      <c r="O180" s="47"/>
      <c r="P180" s="47"/>
      <c r="Q180" s="47"/>
      <c r="R180" s="47"/>
      <c r="S180" s="49"/>
      <c r="T180" s="49"/>
      <c r="U180" s="47"/>
      <c r="V180" s="50"/>
      <c r="W180" s="47"/>
      <c r="X180" s="47"/>
      <c r="Y180" s="47"/>
      <c r="Z180" s="49"/>
      <c r="AA180" s="49"/>
      <c r="AB180" s="20"/>
    </row>
    <row r="181" spans="1:28" ht="15.75" customHeight="1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8"/>
      <c r="K181" s="47"/>
      <c r="L181" s="47"/>
      <c r="M181" s="47"/>
      <c r="N181" s="47"/>
      <c r="O181" s="47"/>
      <c r="P181" s="47"/>
      <c r="Q181" s="47"/>
      <c r="R181" s="47"/>
      <c r="S181" s="49"/>
      <c r="T181" s="49"/>
      <c r="U181" s="47"/>
      <c r="V181" s="50"/>
      <c r="W181" s="47"/>
      <c r="X181" s="47"/>
      <c r="Y181" s="47"/>
      <c r="Z181" s="49"/>
      <c r="AA181" s="49"/>
      <c r="AB181" s="20"/>
    </row>
    <row r="182" spans="1:28" ht="15.75" customHeight="1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8"/>
      <c r="K182" s="47"/>
      <c r="L182" s="47"/>
      <c r="M182" s="47"/>
      <c r="N182" s="47"/>
      <c r="O182" s="47"/>
      <c r="P182" s="47"/>
      <c r="Q182" s="47"/>
      <c r="R182" s="47"/>
      <c r="S182" s="49"/>
      <c r="T182" s="49"/>
      <c r="U182" s="47"/>
      <c r="V182" s="50"/>
      <c r="W182" s="47"/>
      <c r="X182" s="47"/>
      <c r="Y182" s="47"/>
      <c r="Z182" s="49"/>
      <c r="AA182" s="49"/>
      <c r="AB182" s="20"/>
    </row>
    <row r="183" spans="1:28" ht="15.75" customHeight="1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8"/>
      <c r="K183" s="47"/>
      <c r="L183" s="47"/>
      <c r="M183" s="47"/>
      <c r="N183" s="47"/>
      <c r="O183" s="47"/>
      <c r="P183" s="47"/>
      <c r="Q183" s="47"/>
      <c r="R183" s="47"/>
      <c r="S183" s="49"/>
      <c r="T183" s="49"/>
      <c r="U183" s="47"/>
      <c r="V183" s="50"/>
      <c r="W183" s="47"/>
      <c r="X183" s="47"/>
      <c r="Y183" s="47"/>
      <c r="Z183" s="49"/>
      <c r="AA183" s="49"/>
      <c r="AB183" s="20"/>
    </row>
    <row r="184" spans="1:28" ht="15.75" customHeight="1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8"/>
      <c r="K184" s="47"/>
      <c r="L184" s="47"/>
      <c r="M184" s="47"/>
      <c r="N184" s="47"/>
      <c r="O184" s="47"/>
      <c r="P184" s="47"/>
      <c r="Q184" s="47"/>
      <c r="R184" s="47"/>
      <c r="S184" s="49"/>
      <c r="T184" s="49"/>
      <c r="U184" s="47"/>
      <c r="V184" s="50"/>
      <c r="W184" s="47"/>
      <c r="X184" s="47"/>
      <c r="Y184" s="47"/>
      <c r="Z184" s="49"/>
      <c r="AA184" s="49"/>
      <c r="AB184" s="20"/>
    </row>
    <row r="185" spans="1:28" ht="15.75" customHeight="1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8"/>
      <c r="K185" s="47"/>
      <c r="L185" s="47"/>
      <c r="M185" s="47"/>
      <c r="N185" s="47"/>
      <c r="O185" s="47"/>
      <c r="P185" s="47"/>
      <c r="Q185" s="47"/>
      <c r="R185" s="47"/>
      <c r="S185" s="49"/>
      <c r="T185" s="49"/>
      <c r="U185" s="47"/>
      <c r="V185" s="50"/>
      <c r="W185" s="47"/>
      <c r="X185" s="47"/>
      <c r="Y185" s="47"/>
      <c r="Z185" s="49"/>
      <c r="AA185" s="49"/>
      <c r="AB185" s="20"/>
    </row>
    <row r="186" spans="1:28" ht="15.75" customHeight="1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8"/>
      <c r="K186" s="47"/>
      <c r="L186" s="47"/>
      <c r="M186" s="47"/>
      <c r="N186" s="47"/>
      <c r="O186" s="47"/>
      <c r="P186" s="47"/>
      <c r="Q186" s="47"/>
      <c r="R186" s="47"/>
      <c r="S186" s="49"/>
      <c r="T186" s="49"/>
      <c r="U186" s="47"/>
      <c r="V186" s="50"/>
      <c r="W186" s="47"/>
      <c r="X186" s="47"/>
      <c r="Y186" s="47"/>
      <c r="Z186" s="49"/>
      <c r="AA186" s="49"/>
      <c r="AB186" s="20"/>
    </row>
    <row r="187" spans="1:28" ht="15.75" customHeight="1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8"/>
      <c r="K187" s="47"/>
      <c r="L187" s="47"/>
      <c r="M187" s="47"/>
      <c r="N187" s="47"/>
      <c r="O187" s="47"/>
      <c r="P187" s="47"/>
      <c r="Q187" s="47"/>
      <c r="R187" s="47"/>
      <c r="S187" s="49"/>
      <c r="T187" s="49"/>
      <c r="U187" s="47"/>
      <c r="V187" s="50"/>
      <c r="W187" s="47"/>
      <c r="X187" s="47"/>
      <c r="Y187" s="47"/>
      <c r="Z187" s="49"/>
      <c r="AA187" s="49"/>
      <c r="AB187" s="20"/>
    </row>
    <row r="188" spans="1:28" ht="15.75" customHeight="1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8"/>
      <c r="K188" s="47"/>
      <c r="L188" s="47"/>
      <c r="M188" s="47"/>
      <c r="N188" s="47"/>
      <c r="O188" s="47"/>
      <c r="P188" s="47"/>
      <c r="Q188" s="47"/>
      <c r="R188" s="47"/>
      <c r="S188" s="49"/>
      <c r="T188" s="49"/>
      <c r="U188" s="47"/>
      <c r="V188" s="50"/>
      <c r="W188" s="47"/>
      <c r="X188" s="47"/>
      <c r="Y188" s="47"/>
      <c r="Z188" s="49"/>
      <c r="AA188" s="49"/>
      <c r="AB188" s="20"/>
    </row>
    <row r="189" spans="1:28" ht="15.75" customHeight="1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8"/>
      <c r="K189" s="47"/>
      <c r="L189" s="47"/>
      <c r="M189" s="47"/>
      <c r="N189" s="47"/>
      <c r="O189" s="47"/>
      <c r="P189" s="47"/>
      <c r="Q189" s="47"/>
      <c r="R189" s="47"/>
      <c r="S189" s="49"/>
      <c r="T189" s="49"/>
      <c r="U189" s="47"/>
      <c r="V189" s="50"/>
      <c r="W189" s="47"/>
      <c r="X189" s="47"/>
      <c r="Y189" s="47"/>
      <c r="Z189" s="49"/>
      <c r="AA189" s="49"/>
      <c r="AB189" s="20"/>
    </row>
    <row r="190" spans="1:28" ht="15.75" customHeight="1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8"/>
      <c r="K190" s="47"/>
      <c r="L190" s="47"/>
      <c r="M190" s="47"/>
      <c r="N190" s="47"/>
      <c r="O190" s="47"/>
      <c r="P190" s="47"/>
      <c r="Q190" s="47"/>
      <c r="R190" s="47"/>
      <c r="S190" s="49"/>
      <c r="T190" s="49"/>
      <c r="U190" s="47"/>
      <c r="V190" s="50"/>
      <c r="W190" s="47"/>
      <c r="X190" s="47"/>
      <c r="Y190" s="47"/>
      <c r="Z190" s="49"/>
      <c r="AA190" s="49"/>
      <c r="AB190" s="20"/>
    </row>
    <row r="191" spans="1:28" ht="15.75" customHeight="1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8"/>
      <c r="K191" s="47"/>
      <c r="L191" s="47"/>
      <c r="M191" s="47"/>
      <c r="N191" s="47"/>
      <c r="O191" s="47"/>
      <c r="P191" s="47"/>
      <c r="Q191" s="47"/>
      <c r="R191" s="47"/>
      <c r="S191" s="49"/>
      <c r="T191" s="49"/>
      <c r="U191" s="47"/>
      <c r="V191" s="50"/>
      <c r="W191" s="47"/>
      <c r="X191" s="47"/>
      <c r="Y191" s="47"/>
      <c r="Z191" s="49"/>
      <c r="AA191" s="49"/>
      <c r="AB191" s="20"/>
    </row>
    <row r="192" spans="1:28" ht="15.75" customHeight="1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8"/>
      <c r="K192" s="47"/>
      <c r="L192" s="47"/>
      <c r="M192" s="47"/>
      <c r="N192" s="47"/>
      <c r="O192" s="47"/>
      <c r="P192" s="47"/>
      <c r="Q192" s="47"/>
      <c r="R192" s="47"/>
      <c r="S192" s="49"/>
      <c r="T192" s="49"/>
      <c r="U192" s="47"/>
      <c r="V192" s="50"/>
      <c r="W192" s="47"/>
      <c r="X192" s="47"/>
      <c r="Y192" s="47"/>
      <c r="Z192" s="49"/>
      <c r="AA192" s="49"/>
      <c r="AB192" s="20"/>
    </row>
    <row r="193" spans="1:28" ht="15.75" customHeight="1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8"/>
      <c r="K193" s="47"/>
      <c r="L193" s="47"/>
      <c r="M193" s="47"/>
      <c r="N193" s="47"/>
      <c r="O193" s="47"/>
      <c r="P193" s="47"/>
      <c r="Q193" s="47"/>
      <c r="R193" s="47"/>
      <c r="S193" s="49"/>
      <c r="T193" s="49"/>
      <c r="U193" s="47"/>
      <c r="V193" s="50"/>
      <c r="W193" s="47"/>
      <c r="X193" s="47"/>
      <c r="Y193" s="47"/>
      <c r="Z193" s="49"/>
      <c r="AA193" s="49"/>
      <c r="AB193" s="20"/>
    </row>
    <row r="194" spans="1:28" ht="15.75" customHeight="1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8"/>
      <c r="K194" s="47"/>
      <c r="L194" s="47"/>
      <c r="M194" s="47"/>
      <c r="N194" s="47"/>
      <c r="O194" s="47"/>
      <c r="P194" s="47"/>
      <c r="Q194" s="47"/>
      <c r="R194" s="47"/>
      <c r="S194" s="49"/>
      <c r="T194" s="49"/>
      <c r="U194" s="47"/>
      <c r="V194" s="50"/>
      <c r="W194" s="47"/>
      <c r="X194" s="47"/>
      <c r="Y194" s="47"/>
      <c r="Z194" s="49"/>
      <c r="AA194" s="49"/>
      <c r="AB194" s="20"/>
    </row>
    <row r="195" spans="1:28" ht="15.75" customHeight="1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8"/>
      <c r="K195" s="47"/>
      <c r="L195" s="47"/>
      <c r="M195" s="47"/>
      <c r="N195" s="47"/>
      <c r="O195" s="47"/>
      <c r="P195" s="47"/>
      <c r="Q195" s="47"/>
      <c r="R195" s="47"/>
      <c r="S195" s="49"/>
      <c r="T195" s="49"/>
      <c r="U195" s="47"/>
      <c r="V195" s="50"/>
      <c r="W195" s="47"/>
      <c r="X195" s="47"/>
      <c r="Y195" s="47"/>
      <c r="Z195" s="49"/>
      <c r="AA195" s="49"/>
      <c r="AB195" s="20"/>
    </row>
    <row r="196" spans="1:28" ht="15.75" customHeight="1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8"/>
      <c r="K196" s="47"/>
      <c r="L196" s="47"/>
      <c r="M196" s="47"/>
      <c r="N196" s="47"/>
      <c r="O196" s="47"/>
      <c r="P196" s="47"/>
      <c r="Q196" s="47"/>
      <c r="R196" s="47"/>
      <c r="S196" s="49"/>
      <c r="T196" s="49"/>
      <c r="U196" s="47"/>
      <c r="V196" s="50"/>
      <c r="W196" s="47"/>
      <c r="X196" s="47"/>
      <c r="Y196" s="47"/>
      <c r="Z196" s="49"/>
      <c r="AA196" s="49"/>
      <c r="AB196" s="20"/>
    </row>
    <row r="197" spans="1:28" ht="15.75" customHeight="1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8"/>
      <c r="K197" s="47"/>
      <c r="L197" s="47"/>
      <c r="M197" s="47"/>
      <c r="N197" s="47"/>
      <c r="O197" s="47"/>
      <c r="P197" s="47"/>
      <c r="Q197" s="47"/>
      <c r="R197" s="47"/>
      <c r="S197" s="49"/>
      <c r="T197" s="49"/>
      <c r="U197" s="47"/>
      <c r="V197" s="50"/>
      <c r="W197" s="47"/>
      <c r="X197" s="47"/>
      <c r="Y197" s="47"/>
      <c r="Z197" s="49"/>
      <c r="AA197" s="49"/>
      <c r="AB197" s="20"/>
    </row>
    <row r="198" spans="1:28" ht="15.75" customHeight="1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8"/>
      <c r="K198" s="47"/>
      <c r="L198" s="47"/>
      <c r="M198" s="47"/>
      <c r="N198" s="47"/>
      <c r="O198" s="47"/>
      <c r="P198" s="47"/>
      <c r="Q198" s="47"/>
      <c r="R198" s="47"/>
      <c r="S198" s="49"/>
      <c r="T198" s="49"/>
      <c r="U198" s="47"/>
      <c r="V198" s="50"/>
      <c r="W198" s="47"/>
      <c r="X198" s="47"/>
      <c r="Y198" s="47"/>
      <c r="Z198" s="49"/>
      <c r="AA198" s="49"/>
      <c r="AB198" s="20"/>
    </row>
    <row r="199" spans="1:28" ht="15.75" customHeight="1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8"/>
      <c r="K199" s="47"/>
      <c r="L199" s="47"/>
      <c r="M199" s="47"/>
      <c r="N199" s="47"/>
      <c r="O199" s="47"/>
      <c r="P199" s="47"/>
      <c r="Q199" s="47"/>
      <c r="R199" s="47"/>
      <c r="S199" s="49"/>
      <c r="T199" s="49"/>
      <c r="U199" s="47"/>
      <c r="V199" s="50"/>
      <c r="W199" s="47"/>
      <c r="X199" s="47"/>
      <c r="Y199" s="47"/>
      <c r="Z199" s="49"/>
      <c r="AA199" s="49"/>
      <c r="AB199" s="20"/>
    </row>
    <row r="200" spans="1:28" ht="15.75" customHeight="1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8"/>
      <c r="K200" s="47"/>
      <c r="L200" s="47"/>
      <c r="M200" s="47"/>
      <c r="N200" s="47"/>
      <c r="O200" s="47"/>
      <c r="P200" s="47"/>
      <c r="Q200" s="47"/>
      <c r="R200" s="47"/>
      <c r="S200" s="49"/>
      <c r="T200" s="49"/>
      <c r="U200" s="47"/>
      <c r="V200" s="50"/>
      <c r="W200" s="47"/>
      <c r="X200" s="47"/>
      <c r="Y200" s="47"/>
      <c r="Z200" s="49"/>
      <c r="AA200" s="49"/>
      <c r="AB200" s="20"/>
    </row>
    <row r="201" spans="1:28" ht="15.75" customHeight="1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8"/>
      <c r="K201" s="47"/>
      <c r="L201" s="47"/>
      <c r="M201" s="47"/>
      <c r="N201" s="47"/>
      <c r="O201" s="47"/>
      <c r="P201" s="47"/>
      <c r="Q201" s="47"/>
      <c r="R201" s="47"/>
      <c r="S201" s="49"/>
      <c r="T201" s="49"/>
      <c r="U201" s="47"/>
      <c r="V201" s="50"/>
      <c r="W201" s="47"/>
      <c r="X201" s="47"/>
      <c r="Y201" s="47"/>
      <c r="Z201" s="49"/>
      <c r="AA201" s="49"/>
      <c r="AB201" s="20"/>
    </row>
    <row r="202" spans="1:28" ht="15.75" customHeight="1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8"/>
      <c r="K202" s="47"/>
      <c r="L202" s="47"/>
      <c r="M202" s="47"/>
      <c r="N202" s="47"/>
      <c r="O202" s="47"/>
      <c r="P202" s="47"/>
      <c r="Q202" s="47"/>
      <c r="R202" s="47"/>
      <c r="S202" s="49"/>
      <c r="T202" s="49"/>
      <c r="U202" s="47"/>
      <c r="V202" s="50"/>
      <c r="W202" s="47"/>
      <c r="X202" s="47"/>
      <c r="Y202" s="47"/>
      <c r="Z202" s="49"/>
      <c r="AA202" s="49"/>
      <c r="AB202" s="20"/>
    </row>
    <row r="203" spans="1:28" ht="15.75" customHeight="1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8"/>
      <c r="K203" s="47"/>
      <c r="L203" s="47"/>
      <c r="M203" s="47"/>
      <c r="N203" s="47"/>
      <c r="O203" s="47"/>
      <c r="P203" s="47"/>
      <c r="Q203" s="47"/>
      <c r="R203" s="47"/>
      <c r="S203" s="49"/>
      <c r="T203" s="49"/>
      <c r="U203" s="47"/>
      <c r="V203" s="50"/>
      <c r="W203" s="47"/>
      <c r="X203" s="47"/>
      <c r="Y203" s="47"/>
      <c r="Z203" s="49"/>
      <c r="AA203" s="49"/>
      <c r="AB203" s="20"/>
    </row>
    <row r="204" spans="1:28" ht="15.75" customHeight="1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8"/>
      <c r="K204" s="47"/>
      <c r="L204" s="47"/>
      <c r="M204" s="47"/>
      <c r="N204" s="47"/>
      <c r="O204" s="47"/>
      <c r="P204" s="47"/>
      <c r="Q204" s="47"/>
      <c r="R204" s="47"/>
      <c r="S204" s="49"/>
      <c r="T204" s="49"/>
      <c r="U204" s="47"/>
      <c r="V204" s="50"/>
      <c r="W204" s="47"/>
      <c r="X204" s="47"/>
      <c r="Y204" s="47"/>
      <c r="Z204" s="49"/>
      <c r="AA204" s="49"/>
      <c r="AB204" s="20"/>
    </row>
    <row r="205" spans="1:28" ht="15.75" customHeight="1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8"/>
      <c r="K205" s="47"/>
      <c r="L205" s="47"/>
      <c r="M205" s="47"/>
      <c r="N205" s="47"/>
      <c r="O205" s="47"/>
      <c r="P205" s="47"/>
      <c r="Q205" s="47"/>
      <c r="R205" s="47"/>
      <c r="S205" s="49"/>
      <c r="T205" s="49"/>
      <c r="U205" s="47"/>
      <c r="V205" s="50"/>
      <c r="W205" s="47"/>
      <c r="X205" s="47"/>
      <c r="Y205" s="47"/>
      <c r="Z205" s="49"/>
      <c r="AA205" s="49"/>
      <c r="AB205" s="20"/>
    </row>
    <row r="206" spans="1:28" ht="15.75" customHeight="1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8"/>
      <c r="K206" s="47"/>
      <c r="L206" s="47"/>
      <c r="M206" s="47"/>
      <c r="N206" s="47"/>
      <c r="O206" s="47"/>
      <c r="P206" s="47"/>
      <c r="Q206" s="47"/>
      <c r="R206" s="47"/>
      <c r="S206" s="49"/>
      <c r="T206" s="49"/>
      <c r="U206" s="47"/>
      <c r="V206" s="50"/>
      <c r="W206" s="47"/>
      <c r="X206" s="47"/>
      <c r="Y206" s="47"/>
      <c r="Z206" s="49"/>
      <c r="AA206" s="49"/>
      <c r="AB206" s="20"/>
    </row>
    <row r="207" spans="1:28" ht="15.75" customHeight="1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8"/>
      <c r="K207" s="47"/>
      <c r="L207" s="47"/>
      <c r="M207" s="47"/>
      <c r="N207" s="47"/>
      <c r="O207" s="47"/>
      <c r="P207" s="47"/>
      <c r="Q207" s="47"/>
      <c r="R207" s="47"/>
      <c r="S207" s="49"/>
      <c r="T207" s="49"/>
      <c r="U207" s="47"/>
      <c r="V207" s="50"/>
      <c r="W207" s="47"/>
      <c r="X207" s="47"/>
      <c r="Y207" s="47"/>
      <c r="Z207" s="49"/>
      <c r="AA207" s="49"/>
      <c r="AB207" s="20"/>
    </row>
    <row r="208" spans="1:28" ht="15.75" customHeight="1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8"/>
      <c r="K208" s="47"/>
      <c r="L208" s="47"/>
      <c r="M208" s="47"/>
      <c r="N208" s="47"/>
      <c r="O208" s="47"/>
      <c r="P208" s="47"/>
      <c r="Q208" s="47"/>
      <c r="R208" s="47"/>
      <c r="S208" s="49"/>
      <c r="T208" s="49"/>
      <c r="U208" s="47"/>
      <c r="V208" s="50"/>
      <c r="W208" s="47"/>
      <c r="X208" s="47"/>
      <c r="Y208" s="47"/>
      <c r="Z208" s="49"/>
      <c r="AA208" s="49"/>
      <c r="AB208" s="20"/>
    </row>
    <row r="209" spans="1:28" ht="15.75" customHeight="1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8"/>
      <c r="K209" s="47"/>
      <c r="L209" s="47"/>
      <c r="M209" s="47"/>
      <c r="N209" s="47"/>
      <c r="O209" s="47"/>
      <c r="P209" s="47"/>
      <c r="Q209" s="47"/>
      <c r="R209" s="47"/>
      <c r="S209" s="49"/>
      <c r="T209" s="49"/>
      <c r="U209" s="47"/>
      <c r="V209" s="50"/>
      <c r="W209" s="47"/>
      <c r="X209" s="47"/>
      <c r="Y209" s="47"/>
      <c r="Z209" s="49"/>
      <c r="AA209" s="49"/>
      <c r="AB209" s="20"/>
    </row>
    <row r="210" spans="1:28" ht="15.75" customHeight="1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8"/>
      <c r="K210" s="47"/>
      <c r="L210" s="47"/>
      <c r="M210" s="47"/>
      <c r="N210" s="47"/>
      <c r="O210" s="47"/>
      <c r="P210" s="47"/>
      <c r="Q210" s="47"/>
      <c r="R210" s="47"/>
      <c r="S210" s="49"/>
      <c r="T210" s="49"/>
      <c r="U210" s="47"/>
      <c r="V210" s="50"/>
      <c r="W210" s="47"/>
      <c r="X210" s="47"/>
      <c r="Y210" s="47"/>
      <c r="Z210" s="49"/>
      <c r="AA210" s="49"/>
      <c r="AB210" s="20"/>
    </row>
    <row r="211" spans="1:28" ht="15.75" customHeight="1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8"/>
      <c r="K211" s="47"/>
      <c r="L211" s="47"/>
      <c r="M211" s="47"/>
      <c r="N211" s="47"/>
      <c r="O211" s="47"/>
      <c r="P211" s="47"/>
      <c r="Q211" s="47"/>
      <c r="R211" s="47"/>
      <c r="S211" s="49"/>
      <c r="T211" s="49"/>
      <c r="U211" s="47"/>
      <c r="V211" s="50"/>
      <c r="W211" s="47"/>
      <c r="X211" s="47"/>
      <c r="Y211" s="47"/>
      <c r="Z211" s="49"/>
      <c r="AA211" s="49"/>
      <c r="AB211" s="20"/>
    </row>
    <row r="212" spans="1:28" ht="15.75" customHeight="1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8"/>
      <c r="K212" s="47"/>
      <c r="L212" s="47"/>
      <c r="M212" s="47"/>
      <c r="N212" s="47"/>
      <c r="O212" s="47"/>
      <c r="P212" s="47"/>
      <c r="Q212" s="47"/>
      <c r="R212" s="47"/>
      <c r="S212" s="49"/>
      <c r="T212" s="49"/>
      <c r="U212" s="47"/>
      <c r="V212" s="50"/>
      <c r="W212" s="47"/>
      <c r="X212" s="47"/>
      <c r="Y212" s="47"/>
      <c r="Z212" s="49"/>
      <c r="AA212" s="49"/>
      <c r="AB212" s="20"/>
    </row>
    <row r="213" spans="1:28" ht="15.75" customHeight="1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8"/>
      <c r="K213" s="47"/>
      <c r="L213" s="47"/>
      <c r="M213" s="47"/>
      <c r="N213" s="47"/>
      <c r="O213" s="47"/>
      <c r="P213" s="47"/>
      <c r="Q213" s="47"/>
      <c r="R213" s="47"/>
      <c r="S213" s="49"/>
      <c r="T213" s="49"/>
      <c r="U213" s="47"/>
      <c r="V213" s="50"/>
      <c r="W213" s="47"/>
      <c r="X213" s="47"/>
      <c r="Y213" s="47"/>
      <c r="Z213" s="49"/>
      <c r="AA213" s="49"/>
      <c r="AB213" s="20"/>
    </row>
    <row r="214" spans="1:28" ht="15.75" customHeight="1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8"/>
      <c r="K214" s="47"/>
      <c r="L214" s="47"/>
      <c r="M214" s="47"/>
      <c r="N214" s="47"/>
      <c r="O214" s="47"/>
      <c r="P214" s="47"/>
      <c r="Q214" s="47"/>
      <c r="R214" s="47"/>
      <c r="S214" s="49"/>
      <c r="T214" s="49"/>
      <c r="U214" s="47"/>
      <c r="V214" s="50"/>
      <c r="W214" s="47"/>
      <c r="X214" s="47"/>
      <c r="Y214" s="47"/>
      <c r="Z214" s="49"/>
      <c r="AA214" s="49"/>
      <c r="AB214" s="20"/>
    </row>
    <row r="215" spans="1:28" ht="15.75" customHeight="1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8"/>
      <c r="K215" s="47"/>
      <c r="L215" s="47"/>
      <c r="M215" s="47"/>
      <c r="N215" s="47"/>
      <c r="O215" s="47"/>
      <c r="P215" s="47"/>
      <c r="Q215" s="47"/>
      <c r="R215" s="47"/>
      <c r="S215" s="49"/>
      <c r="T215" s="49"/>
      <c r="U215" s="47"/>
      <c r="V215" s="50"/>
      <c r="W215" s="47"/>
      <c r="X215" s="47"/>
      <c r="Y215" s="47"/>
      <c r="Z215" s="49"/>
      <c r="AA215" s="49"/>
      <c r="AB215" s="20"/>
    </row>
    <row r="216" spans="1:28" ht="15.75" customHeight="1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8"/>
      <c r="K216" s="47"/>
      <c r="L216" s="47"/>
      <c r="M216" s="47"/>
      <c r="N216" s="47"/>
      <c r="O216" s="47"/>
      <c r="P216" s="47"/>
      <c r="Q216" s="47"/>
      <c r="R216" s="47"/>
      <c r="S216" s="49"/>
      <c r="T216" s="49"/>
      <c r="U216" s="47"/>
      <c r="V216" s="50"/>
      <c r="W216" s="47"/>
      <c r="X216" s="47"/>
      <c r="Y216" s="47"/>
      <c r="Z216" s="49"/>
      <c r="AA216" s="49"/>
      <c r="AB216" s="20"/>
    </row>
    <row r="217" spans="1:28" ht="15.75" customHeight="1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8"/>
      <c r="K217" s="47"/>
      <c r="L217" s="47"/>
      <c r="M217" s="47"/>
      <c r="N217" s="47"/>
      <c r="O217" s="47"/>
      <c r="P217" s="47"/>
      <c r="Q217" s="47"/>
      <c r="R217" s="47"/>
      <c r="S217" s="49"/>
      <c r="T217" s="49"/>
      <c r="U217" s="47"/>
      <c r="V217" s="50"/>
      <c r="W217" s="47"/>
      <c r="X217" s="47"/>
      <c r="Y217" s="47"/>
      <c r="Z217" s="49"/>
      <c r="AA217" s="49"/>
      <c r="AB217" s="20"/>
    </row>
    <row r="218" spans="1:28" ht="15.75" customHeight="1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8"/>
      <c r="K218" s="47"/>
      <c r="L218" s="47"/>
      <c r="M218" s="47"/>
      <c r="N218" s="47"/>
      <c r="O218" s="47"/>
      <c r="P218" s="47"/>
      <c r="Q218" s="47"/>
      <c r="R218" s="47"/>
      <c r="S218" s="49"/>
      <c r="T218" s="49"/>
      <c r="U218" s="47"/>
      <c r="V218" s="50"/>
      <c r="W218" s="47"/>
      <c r="X218" s="47"/>
      <c r="Y218" s="47"/>
      <c r="Z218" s="49"/>
      <c r="AA218" s="49"/>
      <c r="AB218" s="20"/>
    </row>
    <row r="219" spans="1:28" ht="15.75" customHeight="1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8"/>
      <c r="K219" s="47"/>
      <c r="L219" s="47"/>
      <c r="M219" s="47"/>
      <c r="N219" s="47"/>
      <c r="O219" s="47"/>
      <c r="P219" s="47"/>
      <c r="Q219" s="47"/>
      <c r="R219" s="47"/>
      <c r="S219" s="49"/>
      <c r="T219" s="49"/>
      <c r="U219" s="47"/>
      <c r="V219" s="50"/>
      <c r="W219" s="47"/>
      <c r="X219" s="47"/>
      <c r="Y219" s="47"/>
      <c r="Z219" s="49"/>
      <c r="AA219" s="49"/>
      <c r="AB219" s="20"/>
    </row>
    <row r="220" spans="1:28" ht="15.75" customHeight="1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8"/>
      <c r="K220" s="47"/>
      <c r="L220" s="47"/>
      <c r="M220" s="47"/>
      <c r="N220" s="47"/>
      <c r="O220" s="47"/>
      <c r="P220" s="47"/>
      <c r="Q220" s="47"/>
      <c r="R220" s="47"/>
      <c r="S220" s="49"/>
      <c r="T220" s="49"/>
      <c r="U220" s="47"/>
      <c r="V220" s="50"/>
      <c r="W220" s="47"/>
      <c r="X220" s="47"/>
      <c r="Y220" s="47"/>
      <c r="Z220" s="49"/>
      <c r="AA220" s="49"/>
      <c r="AB220" s="20"/>
    </row>
    <row r="221" spans="1:28" ht="15.75" customHeight="1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8"/>
      <c r="K221" s="47"/>
      <c r="L221" s="47"/>
      <c r="M221" s="47"/>
      <c r="N221" s="47"/>
      <c r="O221" s="47"/>
      <c r="P221" s="47"/>
      <c r="Q221" s="47"/>
      <c r="R221" s="47"/>
      <c r="S221" s="49"/>
      <c r="T221" s="49"/>
      <c r="U221" s="47"/>
      <c r="V221" s="50"/>
      <c r="W221" s="47"/>
      <c r="X221" s="47"/>
      <c r="Y221" s="47"/>
      <c r="Z221" s="49"/>
      <c r="AA221" s="49"/>
      <c r="AB221" s="20"/>
    </row>
    <row r="222" spans="1:28" ht="15.75" customHeight="1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8"/>
      <c r="K222" s="47"/>
      <c r="L222" s="47"/>
      <c r="M222" s="47"/>
      <c r="N222" s="47"/>
      <c r="O222" s="47"/>
      <c r="P222" s="47"/>
      <c r="Q222" s="47"/>
      <c r="R222" s="47"/>
      <c r="S222" s="49"/>
      <c r="T222" s="49"/>
      <c r="U222" s="47"/>
      <c r="V222" s="50"/>
      <c r="W222" s="47"/>
      <c r="X222" s="47"/>
      <c r="Y222" s="47"/>
      <c r="Z222" s="49"/>
      <c r="AA222" s="49"/>
      <c r="AB222" s="20"/>
    </row>
    <row r="223" spans="1:28" ht="15.75" customHeight="1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8"/>
      <c r="K223" s="47"/>
      <c r="L223" s="47"/>
      <c r="M223" s="47"/>
      <c r="N223" s="47"/>
      <c r="O223" s="47"/>
      <c r="P223" s="47"/>
      <c r="Q223" s="47"/>
      <c r="R223" s="47"/>
      <c r="S223" s="49"/>
      <c r="T223" s="49"/>
      <c r="U223" s="47"/>
      <c r="V223" s="50"/>
      <c r="W223" s="47"/>
      <c r="X223" s="47"/>
      <c r="Y223" s="47"/>
      <c r="Z223" s="49"/>
      <c r="AA223" s="49"/>
      <c r="AB223" s="20"/>
    </row>
    <row r="224" spans="1:28" ht="15.75" customHeight="1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8"/>
      <c r="K224" s="47"/>
      <c r="L224" s="47"/>
      <c r="M224" s="47"/>
      <c r="N224" s="47"/>
      <c r="O224" s="47"/>
      <c r="P224" s="47"/>
      <c r="Q224" s="47"/>
      <c r="R224" s="47"/>
      <c r="S224" s="49"/>
      <c r="T224" s="49"/>
      <c r="U224" s="47"/>
      <c r="V224" s="50"/>
      <c r="W224" s="47"/>
      <c r="X224" s="47"/>
      <c r="Y224" s="47"/>
      <c r="Z224" s="49"/>
      <c r="AA224" s="49"/>
      <c r="AB224" s="20"/>
    </row>
    <row r="225" spans="1:28" ht="15.75" customHeight="1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8"/>
      <c r="K225" s="47"/>
      <c r="L225" s="47"/>
      <c r="M225" s="47"/>
      <c r="N225" s="47"/>
      <c r="O225" s="47"/>
      <c r="P225" s="47"/>
      <c r="Q225" s="47"/>
      <c r="R225" s="47"/>
      <c r="S225" s="49"/>
      <c r="T225" s="49"/>
      <c r="U225" s="47"/>
      <c r="V225" s="50"/>
      <c r="W225" s="47"/>
      <c r="X225" s="47"/>
      <c r="Y225" s="47"/>
      <c r="Z225" s="49"/>
      <c r="AA225" s="49"/>
      <c r="AB225" s="20"/>
    </row>
    <row r="226" spans="1:28" ht="15.75" customHeight="1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8"/>
      <c r="K226" s="47"/>
      <c r="L226" s="47"/>
      <c r="M226" s="47"/>
      <c r="N226" s="47"/>
      <c r="O226" s="47"/>
      <c r="P226" s="47"/>
      <c r="Q226" s="47"/>
      <c r="R226" s="47"/>
      <c r="S226" s="49"/>
      <c r="T226" s="49"/>
      <c r="U226" s="47"/>
      <c r="V226" s="50"/>
      <c r="W226" s="47"/>
      <c r="X226" s="47"/>
      <c r="Y226" s="47"/>
      <c r="Z226" s="49"/>
      <c r="AA226" s="49"/>
      <c r="AB226" s="20"/>
    </row>
    <row r="227" spans="1:28" ht="15.75" customHeight="1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8"/>
      <c r="K227" s="47"/>
      <c r="L227" s="47"/>
      <c r="M227" s="47"/>
      <c r="N227" s="47"/>
      <c r="O227" s="47"/>
      <c r="P227" s="47"/>
      <c r="Q227" s="47"/>
      <c r="R227" s="47"/>
      <c r="S227" s="49"/>
      <c r="T227" s="49"/>
      <c r="U227" s="47"/>
      <c r="V227" s="50"/>
      <c r="W227" s="47"/>
      <c r="X227" s="47"/>
      <c r="Y227" s="47"/>
      <c r="Z227" s="49"/>
      <c r="AA227" s="49"/>
      <c r="AB227" s="20"/>
    </row>
    <row r="228" spans="1:28" ht="15.75" customHeight="1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8"/>
      <c r="K228" s="47"/>
      <c r="L228" s="47"/>
      <c r="M228" s="47"/>
      <c r="N228" s="47"/>
      <c r="O228" s="47"/>
      <c r="P228" s="47"/>
      <c r="Q228" s="47"/>
      <c r="R228" s="47"/>
      <c r="S228" s="49"/>
      <c r="T228" s="49"/>
      <c r="U228" s="47"/>
      <c r="V228" s="50"/>
      <c r="W228" s="47"/>
      <c r="X228" s="47"/>
      <c r="Y228" s="47"/>
      <c r="Z228" s="49"/>
      <c r="AA228" s="49"/>
      <c r="AB228" s="20"/>
    </row>
    <row r="229" spans="1:28" ht="15.75" customHeight="1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8"/>
      <c r="K229" s="47"/>
      <c r="L229" s="47"/>
      <c r="M229" s="47"/>
      <c r="N229" s="47"/>
      <c r="O229" s="47"/>
      <c r="P229" s="47"/>
      <c r="Q229" s="47"/>
      <c r="R229" s="47"/>
      <c r="S229" s="49"/>
      <c r="T229" s="49"/>
      <c r="U229" s="47"/>
      <c r="V229" s="50"/>
      <c r="W229" s="47"/>
      <c r="X229" s="47"/>
      <c r="Y229" s="47"/>
      <c r="Z229" s="49"/>
      <c r="AA229" s="49"/>
      <c r="AB229" s="20"/>
    </row>
    <row r="230" spans="1:28" ht="15.75" customHeight="1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8"/>
      <c r="K230" s="47"/>
      <c r="L230" s="47"/>
      <c r="M230" s="47"/>
      <c r="N230" s="47"/>
      <c r="O230" s="47"/>
      <c r="P230" s="47"/>
      <c r="Q230" s="47"/>
      <c r="R230" s="47"/>
      <c r="S230" s="49"/>
      <c r="T230" s="49"/>
      <c r="U230" s="47"/>
      <c r="V230" s="50"/>
      <c r="W230" s="47"/>
      <c r="X230" s="47"/>
      <c r="Y230" s="47"/>
      <c r="Z230" s="49"/>
      <c r="AA230" s="49"/>
      <c r="AB230" s="20"/>
    </row>
    <row r="231" spans="1:28" ht="15.75" customHeight="1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8"/>
      <c r="K231" s="47"/>
      <c r="L231" s="47"/>
      <c r="M231" s="47"/>
      <c r="N231" s="47"/>
      <c r="O231" s="47"/>
      <c r="P231" s="47"/>
      <c r="Q231" s="47"/>
      <c r="R231" s="47"/>
      <c r="S231" s="49"/>
      <c r="T231" s="49"/>
      <c r="U231" s="47"/>
      <c r="V231" s="50"/>
      <c r="W231" s="47"/>
      <c r="X231" s="47"/>
      <c r="Y231" s="47"/>
      <c r="Z231" s="49"/>
      <c r="AA231" s="49"/>
      <c r="AB231" s="20"/>
    </row>
    <row r="232" spans="1:28" ht="15.75" customHeight="1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8"/>
      <c r="K232" s="47"/>
      <c r="L232" s="47"/>
      <c r="M232" s="47"/>
      <c r="N232" s="47"/>
      <c r="O232" s="47"/>
      <c r="P232" s="47"/>
      <c r="Q232" s="47"/>
      <c r="R232" s="47"/>
      <c r="S232" s="49"/>
      <c r="T232" s="49"/>
      <c r="U232" s="47"/>
      <c r="V232" s="50"/>
      <c r="W232" s="47"/>
      <c r="X232" s="47"/>
      <c r="Y232" s="47"/>
      <c r="Z232" s="49"/>
      <c r="AA232" s="49"/>
      <c r="AB232" s="20"/>
    </row>
    <row r="233" spans="1:28" ht="15.75" customHeight="1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8"/>
      <c r="K233" s="47"/>
      <c r="L233" s="47"/>
      <c r="M233" s="47"/>
      <c r="N233" s="47"/>
      <c r="O233" s="47"/>
      <c r="P233" s="47"/>
      <c r="Q233" s="47"/>
      <c r="R233" s="47"/>
      <c r="S233" s="49"/>
      <c r="T233" s="49"/>
      <c r="U233" s="47"/>
      <c r="V233" s="50"/>
      <c r="W233" s="47"/>
      <c r="X233" s="47"/>
      <c r="Y233" s="47"/>
      <c r="Z233" s="49"/>
      <c r="AA233" s="49"/>
      <c r="AB233" s="20"/>
    </row>
    <row r="234" spans="1:28" ht="15.75" customHeight="1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8"/>
      <c r="K234" s="47"/>
      <c r="L234" s="47"/>
      <c r="M234" s="47"/>
      <c r="N234" s="47"/>
      <c r="O234" s="47"/>
      <c r="P234" s="47"/>
      <c r="Q234" s="47"/>
      <c r="R234" s="47"/>
      <c r="S234" s="49"/>
      <c r="T234" s="49"/>
      <c r="U234" s="47"/>
      <c r="V234" s="50"/>
      <c r="W234" s="47"/>
      <c r="X234" s="47"/>
      <c r="Y234" s="47"/>
      <c r="Z234" s="49"/>
      <c r="AA234" s="49"/>
      <c r="AB234" s="20"/>
    </row>
    <row r="235" spans="1:28" ht="15.75" customHeight="1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8"/>
      <c r="K235" s="47"/>
      <c r="L235" s="47"/>
      <c r="M235" s="47"/>
      <c r="N235" s="47"/>
      <c r="O235" s="47"/>
      <c r="P235" s="47"/>
      <c r="Q235" s="47"/>
      <c r="R235" s="47"/>
      <c r="S235" s="49"/>
      <c r="T235" s="49"/>
      <c r="U235" s="47"/>
      <c r="V235" s="50"/>
      <c r="W235" s="47"/>
      <c r="X235" s="47"/>
      <c r="Y235" s="47"/>
      <c r="Z235" s="49"/>
      <c r="AA235" s="49"/>
      <c r="AB235" s="20"/>
    </row>
    <row r="236" spans="1:28" ht="15.75" customHeight="1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8"/>
      <c r="K236" s="47"/>
      <c r="L236" s="47"/>
      <c r="M236" s="47"/>
      <c r="N236" s="47"/>
      <c r="O236" s="47"/>
      <c r="P236" s="47"/>
      <c r="Q236" s="47"/>
      <c r="R236" s="47"/>
      <c r="S236" s="49"/>
      <c r="T236" s="49"/>
      <c r="U236" s="47"/>
      <c r="V236" s="50"/>
      <c r="W236" s="47"/>
      <c r="X236" s="47"/>
      <c r="Y236" s="47"/>
      <c r="Z236" s="49"/>
      <c r="AA236" s="49"/>
      <c r="AB236" s="20"/>
    </row>
    <row r="237" spans="1:28" ht="15.75" customHeight="1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8"/>
      <c r="K237" s="47"/>
      <c r="L237" s="47"/>
      <c r="M237" s="47"/>
      <c r="N237" s="47"/>
      <c r="O237" s="47"/>
      <c r="P237" s="47"/>
      <c r="Q237" s="47"/>
      <c r="R237" s="47"/>
      <c r="S237" s="49"/>
      <c r="T237" s="49"/>
      <c r="U237" s="47"/>
      <c r="V237" s="50"/>
      <c r="W237" s="47"/>
      <c r="X237" s="47"/>
      <c r="Y237" s="47"/>
      <c r="Z237" s="49"/>
      <c r="AA237" s="49"/>
      <c r="AB237" s="20"/>
    </row>
    <row r="238" spans="1:28" ht="15.75" customHeight="1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8"/>
      <c r="K238" s="47"/>
      <c r="L238" s="47"/>
      <c r="M238" s="47"/>
      <c r="N238" s="47"/>
      <c r="O238" s="47"/>
      <c r="P238" s="47"/>
      <c r="Q238" s="47"/>
      <c r="R238" s="47"/>
      <c r="S238" s="49"/>
      <c r="T238" s="49"/>
      <c r="U238" s="47"/>
      <c r="V238" s="50"/>
      <c r="W238" s="47"/>
      <c r="X238" s="47"/>
      <c r="Y238" s="47"/>
      <c r="Z238" s="49"/>
      <c r="AA238" s="49"/>
      <c r="AB238" s="20"/>
    </row>
    <row r="239" spans="1:28" ht="15.75" customHeight="1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8"/>
      <c r="K239" s="47"/>
      <c r="L239" s="47"/>
      <c r="M239" s="47"/>
      <c r="N239" s="47"/>
      <c r="O239" s="47"/>
      <c r="P239" s="47"/>
      <c r="Q239" s="47"/>
      <c r="R239" s="47"/>
      <c r="S239" s="49"/>
      <c r="T239" s="49"/>
      <c r="U239" s="47"/>
      <c r="V239" s="50"/>
      <c r="W239" s="47"/>
      <c r="X239" s="47"/>
      <c r="Y239" s="47"/>
      <c r="Z239" s="49"/>
      <c r="AA239" s="49"/>
      <c r="AB239" s="20"/>
    </row>
    <row r="240" spans="1:28" ht="15.75" customHeight="1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8"/>
      <c r="K240" s="47"/>
      <c r="L240" s="47"/>
      <c r="M240" s="47"/>
      <c r="N240" s="47"/>
      <c r="O240" s="47"/>
      <c r="P240" s="47"/>
      <c r="Q240" s="47"/>
      <c r="R240" s="47"/>
      <c r="S240" s="49"/>
      <c r="T240" s="49"/>
      <c r="U240" s="47"/>
      <c r="V240" s="50"/>
      <c r="W240" s="47"/>
      <c r="X240" s="47"/>
      <c r="Y240" s="47"/>
      <c r="Z240" s="49"/>
      <c r="AA240" s="49"/>
      <c r="AB240" s="20"/>
    </row>
    <row r="241" spans="1:28" ht="15.75" customHeight="1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8"/>
      <c r="K241" s="47"/>
      <c r="L241" s="47"/>
      <c r="M241" s="47"/>
      <c r="N241" s="47"/>
      <c r="O241" s="47"/>
      <c r="P241" s="47"/>
      <c r="Q241" s="47"/>
      <c r="R241" s="47"/>
      <c r="S241" s="49"/>
      <c r="T241" s="49"/>
      <c r="U241" s="47"/>
      <c r="V241" s="50"/>
      <c r="W241" s="47"/>
      <c r="X241" s="47"/>
      <c r="Y241" s="47"/>
      <c r="Z241" s="49"/>
      <c r="AA241" s="49"/>
      <c r="AB241" s="20"/>
    </row>
    <row r="242" spans="1:28" ht="15.75" customHeight="1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8"/>
      <c r="K242" s="47"/>
      <c r="L242" s="47"/>
      <c r="M242" s="47"/>
      <c r="N242" s="47"/>
      <c r="O242" s="47"/>
      <c r="P242" s="47"/>
      <c r="Q242" s="47"/>
      <c r="R242" s="47"/>
      <c r="S242" s="49"/>
      <c r="T242" s="49"/>
      <c r="U242" s="47"/>
      <c r="V242" s="50"/>
      <c r="W242" s="47"/>
      <c r="X242" s="47"/>
      <c r="Y242" s="47"/>
      <c r="Z242" s="49"/>
      <c r="AA242" s="49"/>
      <c r="AB242" s="20"/>
    </row>
    <row r="243" spans="1:28" ht="15.75" customHeight="1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8"/>
      <c r="K243" s="47"/>
      <c r="L243" s="47"/>
      <c r="M243" s="47"/>
      <c r="N243" s="47"/>
      <c r="O243" s="47"/>
      <c r="P243" s="47"/>
      <c r="Q243" s="47"/>
      <c r="R243" s="47"/>
      <c r="S243" s="49"/>
      <c r="T243" s="49"/>
      <c r="U243" s="47"/>
      <c r="V243" s="50"/>
      <c r="W243" s="47"/>
      <c r="X243" s="47"/>
      <c r="Y243" s="47"/>
      <c r="Z243" s="49"/>
      <c r="AA243" s="49"/>
      <c r="AB243" s="20"/>
    </row>
    <row r="244" spans="1:28" ht="15.75" customHeight="1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8"/>
      <c r="K244" s="47"/>
      <c r="L244" s="47"/>
      <c r="M244" s="47"/>
      <c r="N244" s="47"/>
      <c r="O244" s="47"/>
      <c r="P244" s="47"/>
      <c r="Q244" s="47"/>
      <c r="R244" s="47"/>
      <c r="S244" s="49"/>
      <c r="T244" s="49"/>
      <c r="U244" s="47"/>
      <c r="V244" s="50"/>
      <c r="W244" s="47"/>
      <c r="X244" s="47"/>
      <c r="Y244" s="47"/>
      <c r="Z244" s="49"/>
      <c r="AA244" s="49"/>
      <c r="AB244" s="20"/>
    </row>
    <row r="245" spans="1:28" ht="15.75" customHeight="1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8"/>
      <c r="K245" s="47"/>
      <c r="L245" s="47"/>
      <c r="M245" s="47"/>
      <c r="N245" s="47"/>
      <c r="O245" s="47"/>
      <c r="P245" s="47"/>
      <c r="Q245" s="47"/>
      <c r="R245" s="47"/>
      <c r="S245" s="49"/>
      <c r="T245" s="49"/>
      <c r="U245" s="47"/>
      <c r="V245" s="50"/>
      <c r="W245" s="47"/>
      <c r="X245" s="47"/>
      <c r="Y245" s="47"/>
      <c r="Z245" s="49"/>
      <c r="AA245" s="49"/>
      <c r="AB245" s="20"/>
    </row>
    <row r="246" spans="1:28" ht="15.75" customHeight="1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8"/>
      <c r="K246" s="47"/>
      <c r="L246" s="47"/>
      <c r="M246" s="47"/>
      <c r="N246" s="47"/>
      <c r="O246" s="47"/>
      <c r="P246" s="47"/>
      <c r="Q246" s="47"/>
      <c r="R246" s="47"/>
      <c r="S246" s="49"/>
      <c r="T246" s="49"/>
      <c r="U246" s="47"/>
      <c r="V246" s="50"/>
      <c r="W246" s="47"/>
      <c r="X246" s="47"/>
      <c r="Y246" s="47"/>
      <c r="Z246" s="49"/>
      <c r="AA246" s="49"/>
      <c r="AB246" s="20"/>
    </row>
    <row r="247" spans="1:28" ht="15.75" customHeight="1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8"/>
      <c r="K247" s="47"/>
      <c r="L247" s="47"/>
      <c r="M247" s="47"/>
      <c r="N247" s="47"/>
      <c r="O247" s="47"/>
      <c r="P247" s="47"/>
      <c r="Q247" s="47"/>
      <c r="R247" s="47"/>
      <c r="S247" s="49"/>
      <c r="T247" s="49"/>
      <c r="U247" s="47"/>
      <c r="V247" s="50"/>
      <c r="W247" s="47"/>
      <c r="X247" s="47"/>
      <c r="Y247" s="47"/>
      <c r="Z247" s="49"/>
      <c r="AA247" s="49"/>
      <c r="AB247" s="20"/>
    </row>
    <row r="248" spans="1:28" ht="15.75" customHeight="1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8"/>
      <c r="K248" s="47"/>
      <c r="L248" s="47"/>
      <c r="M248" s="47"/>
      <c r="N248" s="47"/>
      <c r="O248" s="47"/>
      <c r="P248" s="47"/>
      <c r="Q248" s="47"/>
      <c r="R248" s="47"/>
      <c r="S248" s="49"/>
      <c r="T248" s="49"/>
      <c r="U248" s="47"/>
      <c r="V248" s="50"/>
      <c r="W248" s="47"/>
      <c r="X248" s="47"/>
      <c r="Y248" s="47"/>
      <c r="Z248" s="49"/>
      <c r="AA248" s="49"/>
      <c r="AB248" s="20"/>
    </row>
    <row r="249" spans="1:28" ht="15.75" customHeight="1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8"/>
      <c r="K249" s="47"/>
      <c r="L249" s="47"/>
      <c r="M249" s="47"/>
      <c r="N249" s="47"/>
      <c r="O249" s="47"/>
      <c r="P249" s="47"/>
      <c r="Q249" s="47"/>
      <c r="R249" s="47"/>
      <c r="S249" s="49"/>
      <c r="T249" s="49"/>
      <c r="U249" s="47"/>
      <c r="V249" s="50"/>
      <c r="W249" s="47"/>
      <c r="X249" s="47"/>
      <c r="Y249" s="47"/>
      <c r="Z249" s="49"/>
      <c r="AA249" s="49"/>
      <c r="AB249" s="20"/>
    </row>
    <row r="250" spans="1:28" ht="15.75" customHeight="1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8"/>
      <c r="K250" s="47"/>
      <c r="L250" s="47"/>
      <c r="M250" s="47"/>
      <c r="N250" s="47"/>
      <c r="O250" s="47"/>
      <c r="P250" s="47"/>
      <c r="Q250" s="47"/>
      <c r="R250" s="47"/>
      <c r="S250" s="49"/>
      <c r="T250" s="49"/>
      <c r="U250" s="47"/>
      <c r="V250" s="50"/>
      <c r="W250" s="47"/>
      <c r="X250" s="47"/>
      <c r="Y250" s="47"/>
      <c r="Z250" s="49"/>
      <c r="AA250" s="49"/>
      <c r="AB250" s="20"/>
    </row>
    <row r="251" spans="1:28" ht="15.75" customHeight="1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8"/>
      <c r="K251" s="47"/>
      <c r="L251" s="47"/>
      <c r="M251" s="47"/>
      <c r="N251" s="47"/>
      <c r="O251" s="47"/>
      <c r="P251" s="47"/>
      <c r="Q251" s="47"/>
      <c r="R251" s="47"/>
      <c r="S251" s="49"/>
      <c r="T251" s="49"/>
      <c r="U251" s="47"/>
      <c r="V251" s="50"/>
      <c r="W251" s="47"/>
      <c r="X251" s="47"/>
      <c r="Y251" s="47"/>
      <c r="Z251" s="49"/>
      <c r="AA251" s="49"/>
      <c r="AB251" s="20"/>
    </row>
    <row r="252" spans="1:28" ht="15.75" customHeight="1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8"/>
      <c r="K252" s="47"/>
      <c r="L252" s="47"/>
      <c r="M252" s="47"/>
      <c r="N252" s="47"/>
      <c r="O252" s="47"/>
      <c r="P252" s="47"/>
      <c r="Q252" s="47"/>
      <c r="R252" s="47"/>
      <c r="S252" s="49"/>
      <c r="T252" s="49"/>
      <c r="U252" s="47"/>
      <c r="V252" s="50"/>
      <c r="W252" s="47"/>
      <c r="X252" s="47"/>
      <c r="Y252" s="47"/>
      <c r="Z252" s="49"/>
      <c r="AA252" s="49"/>
      <c r="AB252" s="20"/>
    </row>
    <row r="253" spans="1:28" ht="15.75" customHeight="1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8"/>
      <c r="K253" s="47"/>
      <c r="L253" s="47"/>
      <c r="M253" s="47"/>
      <c r="N253" s="47"/>
      <c r="O253" s="47"/>
      <c r="P253" s="47"/>
      <c r="Q253" s="47"/>
      <c r="R253" s="47"/>
      <c r="S253" s="49"/>
      <c r="T253" s="49"/>
      <c r="U253" s="47"/>
      <c r="V253" s="50"/>
      <c r="W253" s="47"/>
      <c r="X253" s="47"/>
      <c r="Y253" s="47"/>
      <c r="Z253" s="49"/>
      <c r="AA253" s="49"/>
      <c r="AB253" s="20"/>
    </row>
    <row r="254" spans="1:28" ht="15.75" customHeight="1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8"/>
      <c r="K254" s="47"/>
      <c r="L254" s="47"/>
      <c r="M254" s="47"/>
      <c r="N254" s="47"/>
      <c r="O254" s="47"/>
      <c r="P254" s="47"/>
      <c r="Q254" s="47"/>
      <c r="R254" s="47"/>
      <c r="S254" s="49"/>
      <c r="T254" s="49"/>
      <c r="U254" s="47"/>
      <c r="V254" s="50"/>
      <c r="W254" s="47"/>
      <c r="X254" s="47"/>
      <c r="Y254" s="47"/>
      <c r="Z254" s="49"/>
      <c r="AA254" s="49"/>
      <c r="AB254" s="20"/>
    </row>
    <row r="255" spans="1:28" ht="15.75" customHeight="1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8"/>
      <c r="K255" s="47"/>
      <c r="L255" s="47"/>
      <c r="M255" s="47"/>
      <c r="N255" s="47"/>
      <c r="O255" s="47"/>
      <c r="P255" s="47"/>
      <c r="Q255" s="47"/>
      <c r="R255" s="47"/>
      <c r="S255" s="49"/>
      <c r="T255" s="49"/>
      <c r="U255" s="47"/>
      <c r="V255" s="50"/>
      <c r="W255" s="47"/>
      <c r="X255" s="47"/>
      <c r="Y255" s="47"/>
      <c r="Z255" s="49"/>
      <c r="AA255" s="49"/>
      <c r="AB255" s="20"/>
    </row>
    <row r="256" spans="1:28" ht="15.75" customHeight="1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8"/>
      <c r="K256" s="47"/>
      <c r="L256" s="47"/>
      <c r="M256" s="47"/>
      <c r="N256" s="47"/>
      <c r="O256" s="47"/>
      <c r="P256" s="47"/>
      <c r="Q256" s="47"/>
      <c r="R256" s="47"/>
      <c r="S256" s="49"/>
      <c r="T256" s="49"/>
      <c r="U256" s="47"/>
      <c r="V256" s="50"/>
      <c r="W256" s="47"/>
      <c r="X256" s="47"/>
      <c r="Y256" s="47"/>
      <c r="Z256" s="49"/>
      <c r="AA256" s="49"/>
      <c r="AB256" s="20"/>
    </row>
    <row r="257" spans="1:28" ht="15.75" customHeight="1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8"/>
      <c r="K257" s="47"/>
      <c r="L257" s="47"/>
      <c r="M257" s="47"/>
      <c r="N257" s="47"/>
      <c r="O257" s="47"/>
      <c r="P257" s="47"/>
      <c r="Q257" s="47"/>
      <c r="R257" s="47"/>
      <c r="S257" s="49"/>
      <c r="T257" s="49"/>
      <c r="U257" s="47"/>
      <c r="V257" s="50"/>
      <c r="W257" s="47"/>
      <c r="X257" s="47"/>
      <c r="Y257" s="47"/>
      <c r="Z257" s="49"/>
      <c r="AA257" s="49"/>
      <c r="AB257" s="20"/>
    </row>
    <row r="258" spans="1:28" ht="15.75" customHeight="1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8"/>
      <c r="K258" s="47"/>
      <c r="L258" s="47"/>
      <c r="M258" s="47"/>
      <c r="N258" s="47"/>
      <c r="O258" s="47"/>
      <c r="P258" s="47"/>
      <c r="Q258" s="47"/>
      <c r="R258" s="47"/>
      <c r="S258" s="49"/>
      <c r="T258" s="49"/>
      <c r="U258" s="47"/>
      <c r="V258" s="50"/>
      <c r="W258" s="47"/>
      <c r="X258" s="47"/>
      <c r="Y258" s="47"/>
      <c r="Z258" s="49"/>
      <c r="AA258" s="49"/>
      <c r="AB258" s="20"/>
    </row>
    <row r="259" spans="1:28" ht="15.75" customHeight="1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8"/>
      <c r="K259" s="47"/>
      <c r="L259" s="47"/>
      <c r="M259" s="47"/>
      <c r="N259" s="47"/>
      <c r="O259" s="47"/>
      <c r="P259" s="47"/>
      <c r="Q259" s="47"/>
      <c r="R259" s="47"/>
      <c r="S259" s="49"/>
      <c r="T259" s="49"/>
      <c r="U259" s="47"/>
      <c r="V259" s="50"/>
      <c r="W259" s="47"/>
      <c r="X259" s="47"/>
      <c r="Y259" s="47"/>
      <c r="Z259" s="49"/>
      <c r="AA259" s="49"/>
      <c r="AB259" s="20"/>
    </row>
    <row r="260" spans="1:28" ht="15.75" customHeight="1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8"/>
      <c r="K260" s="47"/>
      <c r="L260" s="47"/>
      <c r="M260" s="47"/>
      <c r="N260" s="47"/>
      <c r="O260" s="47"/>
      <c r="P260" s="47"/>
      <c r="Q260" s="47"/>
      <c r="R260" s="47"/>
      <c r="S260" s="49"/>
      <c r="T260" s="49"/>
      <c r="U260" s="47"/>
      <c r="V260" s="50"/>
      <c r="W260" s="47"/>
      <c r="X260" s="47"/>
      <c r="Y260" s="47"/>
      <c r="Z260" s="49"/>
      <c r="AA260" s="49"/>
      <c r="AB260" s="20"/>
    </row>
    <row r="261" spans="1:28" ht="15.75" customHeight="1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8"/>
      <c r="K261" s="47"/>
      <c r="L261" s="47"/>
      <c r="M261" s="47"/>
      <c r="N261" s="47"/>
      <c r="O261" s="47"/>
      <c r="P261" s="47"/>
      <c r="Q261" s="47"/>
      <c r="R261" s="47"/>
      <c r="S261" s="49"/>
      <c r="T261" s="49"/>
      <c r="U261" s="47"/>
      <c r="V261" s="50"/>
      <c r="W261" s="47"/>
      <c r="X261" s="47"/>
      <c r="Y261" s="47"/>
      <c r="Z261" s="49"/>
      <c r="AA261" s="49"/>
      <c r="AB261" s="20"/>
    </row>
    <row r="262" spans="1:28" ht="15.75" customHeight="1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8"/>
      <c r="K262" s="47"/>
      <c r="L262" s="47"/>
      <c r="M262" s="47"/>
      <c r="N262" s="47"/>
      <c r="O262" s="47"/>
      <c r="P262" s="47"/>
      <c r="Q262" s="47"/>
      <c r="R262" s="47"/>
      <c r="S262" s="49"/>
      <c r="T262" s="49"/>
      <c r="U262" s="47"/>
      <c r="V262" s="50"/>
      <c r="W262" s="47"/>
      <c r="X262" s="47"/>
      <c r="Y262" s="47"/>
      <c r="Z262" s="49"/>
      <c r="AA262" s="49"/>
      <c r="AB262" s="20"/>
    </row>
    <row r="263" spans="1:28" ht="15.75" customHeight="1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8"/>
      <c r="K263" s="47"/>
      <c r="L263" s="47"/>
      <c r="M263" s="47"/>
      <c r="N263" s="47"/>
      <c r="O263" s="47"/>
      <c r="P263" s="47"/>
      <c r="Q263" s="47"/>
      <c r="R263" s="47"/>
      <c r="S263" s="49"/>
      <c r="T263" s="49"/>
      <c r="U263" s="47"/>
      <c r="V263" s="50"/>
      <c r="W263" s="47"/>
      <c r="X263" s="47"/>
      <c r="Y263" s="47"/>
      <c r="Z263" s="49"/>
      <c r="AA263" s="49"/>
      <c r="AB263" s="20"/>
    </row>
    <row r="264" spans="1:28" ht="15.75" customHeight="1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8"/>
      <c r="K264" s="47"/>
      <c r="L264" s="47"/>
      <c r="M264" s="47"/>
      <c r="N264" s="47"/>
      <c r="O264" s="47"/>
      <c r="P264" s="47"/>
      <c r="Q264" s="47"/>
      <c r="R264" s="47"/>
      <c r="S264" s="49"/>
      <c r="T264" s="49"/>
      <c r="U264" s="47"/>
      <c r="V264" s="50"/>
      <c r="W264" s="47"/>
      <c r="X264" s="47"/>
      <c r="Y264" s="47"/>
      <c r="Z264" s="49"/>
      <c r="AA264" s="49"/>
      <c r="AB264" s="20"/>
    </row>
    <row r="265" spans="1:28" ht="15.75" customHeight="1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8"/>
      <c r="K265" s="47"/>
      <c r="L265" s="47"/>
      <c r="M265" s="47"/>
      <c r="N265" s="47"/>
      <c r="O265" s="47"/>
      <c r="P265" s="47"/>
      <c r="Q265" s="47"/>
      <c r="R265" s="47"/>
      <c r="S265" s="49"/>
      <c r="T265" s="49"/>
      <c r="U265" s="47"/>
      <c r="V265" s="50"/>
      <c r="W265" s="47"/>
      <c r="X265" s="47"/>
      <c r="Y265" s="47"/>
      <c r="Z265" s="49"/>
      <c r="AA265" s="49"/>
      <c r="AB265" s="20"/>
    </row>
    <row r="266" spans="1:28" ht="15.75" customHeight="1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8"/>
      <c r="K266" s="47"/>
      <c r="L266" s="47"/>
      <c r="M266" s="47"/>
      <c r="N266" s="47"/>
      <c r="O266" s="47"/>
      <c r="P266" s="47"/>
      <c r="Q266" s="47"/>
      <c r="R266" s="47"/>
      <c r="S266" s="49"/>
      <c r="T266" s="49"/>
      <c r="U266" s="47"/>
      <c r="V266" s="50"/>
      <c r="W266" s="47"/>
      <c r="X266" s="47"/>
      <c r="Y266" s="47"/>
      <c r="Z266" s="49"/>
      <c r="AA266" s="49"/>
      <c r="AB266" s="20"/>
    </row>
    <row r="267" spans="1:28" ht="15.75" customHeight="1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8"/>
      <c r="K267" s="47"/>
      <c r="L267" s="47"/>
      <c r="M267" s="47"/>
      <c r="N267" s="47"/>
      <c r="O267" s="47"/>
      <c r="P267" s="47"/>
      <c r="Q267" s="47"/>
      <c r="R267" s="47"/>
      <c r="S267" s="49"/>
      <c r="T267" s="49"/>
      <c r="U267" s="47"/>
      <c r="V267" s="50"/>
      <c r="W267" s="47"/>
      <c r="X267" s="47"/>
      <c r="Y267" s="47"/>
      <c r="Z267" s="49"/>
      <c r="AA267" s="49"/>
      <c r="AB267" s="20"/>
    </row>
    <row r="268" spans="1:28" ht="15.75" customHeight="1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8"/>
      <c r="K268" s="47"/>
      <c r="L268" s="47"/>
      <c r="M268" s="47"/>
      <c r="N268" s="47"/>
      <c r="O268" s="47"/>
      <c r="P268" s="47"/>
      <c r="Q268" s="47"/>
      <c r="R268" s="47"/>
      <c r="S268" s="49"/>
      <c r="T268" s="49"/>
      <c r="U268" s="47"/>
      <c r="V268" s="50"/>
      <c r="W268" s="47"/>
      <c r="X268" s="47"/>
      <c r="Y268" s="47"/>
      <c r="Z268" s="49"/>
      <c r="AA268" s="49"/>
      <c r="AB268" s="20"/>
    </row>
    <row r="269" spans="1:28" ht="15.75" customHeight="1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8"/>
      <c r="K269" s="47"/>
      <c r="L269" s="47"/>
      <c r="M269" s="47"/>
      <c r="N269" s="47"/>
      <c r="O269" s="47"/>
      <c r="P269" s="47"/>
      <c r="Q269" s="47"/>
      <c r="R269" s="47"/>
      <c r="S269" s="49"/>
      <c r="T269" s="49"/>
      <c r="U269" s="47"/>
      <c r="V269" s="50"/>
      <c r="W269" s="47"/>
      <c r="X269" s="47"/>
      <c r="Y269" s="47"/>
      <c r="Z269" s="49"/>
      <c r="AA269" s="49"/>
      <c r="AB269" s="20"/>
    </row>
    <row r="270" spans="1:28" ht="15.75" customHeight="1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8"/>
      <c r="K270" s="47"/>
      <c r="L270" s="47"/>
      <c r="M270" s="47"/>
      <c r="N270" s="47"/>
      <c r="O270" s="47"/>
      <c r="P270" s="47"/>
      <c r="Q270" s="47"/>
      <c r="R270" s="47"/>
      <c r="S270" s="49"/>
      <c r="T270" s="49"/>
      <c r="U270" s="47"/>
      <c r="V270" s="50"/>
      <c r="W270" s="47"/>
      <c r="X270" s="47"/>
      <c r="Y270" s="47"/>
      <c r="Z270" s="49"/>
      <c r="AA270" s="49"/>
      <c r="AB270" s="20"/>
    </row>
    <row r="271" spans="1:28" ht="15.75" customHeight="1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8"/>
      <c r="K271" s="47"/>
      <c r="L271" s="47"/>
      <c r="M271" s="47"/>
      <c r="N271" s="47"/>
      <c r="O271" s="47"/>
      <c r="P271" s="47"/>
      <c r="Q271" s="47"/>
      <c r="R271" s="47"/>
      <c r="S271" s="49"/>
      <c r="T271" s="49"/>
      <c r="U271" s="47"/>
      <c r="V271" s="50"/>
      <c r="W271" s="47"/>
      <c r="X271" s="47"/>
      <c r="Y271" s="47"/>
      <c r="Z271" s="49"/>
      <c r="AA271" s="49"/>
      <c r="AB271" s="20"/>
    </row>
    <row r="272" spans="1:28" ht="15.75" customHeight="1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8"/>
      <c r="K272" s="47"/>
      <c r="L272" s="47"/>
      <c r="M272" s="47"/>
      <c r="N272" s="47"/>
      <c r="O272" s="47"/>
      <c r="P272" s="47"/>
      <c r="Q272" s="47"/>
      <c r="R272" s="47"/>
      <c r="S272" s="49"/>
      <c r="T272" s="49"/>
      <c r="U272" s="47"/>
      <c r="V272" s="50"/>
      <c r="W272" s="47"/>
      <c r="X272" s="47"/>
      <c r="Y272" s="47"/>
      <c r="Z272" s="49"/>
      <c r="AA272" s="49"/>
      <c r="AB272" s="20"/>
    </row>
    <row r="273" spans="1:28" ht="15.75" customHeight="1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8"/>
      <c r="K273" s="47"/>
      <c r="L273" s="47"/>
      <c r="M273" s="47"/>
      <c r="N273" s="47"/>
      <c r="O273" s="47"/>
      <c r="P273" s="47"/>
      <c r="Q273" s="47"/>
      <c r="R273" s="47"/>
      <c r="S273" s="49"/>
      <c r="T273" s="49"/>
      <c r="U273" s="47"/>
      <c r="V273" s="50"/>
      <c r="W273" s="47"/>
      <c r="X273" s="47"/>
      <c r="Y273" s="47"/>
      <c r="Z273" s="49"/>
      <c r="AA273" s="49"/>
      <c r="AB273" s="20"/>
    </row>
    <row r="274" spans="1:28" ht="15.75" customHeight="1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8"/>
      <c r="K274" s="47"/>
      <c r="L274" s="47"/>
      <c r="M274" s="47"/>
      <c r="N274" s="47"/>
      <c r="O274" s="47"/>
      <c r="P274" s="47"/>
      <c r="Q274" s="47"/>
      <c r="R274" s="47"/>
      <c r="S274" s="49"/>
      <c r="T274" s="49"/>
      <c r="U274" s="47"/>
      <c r="V274" s="50"/>
      <c r="W274" s="47"/>
      <c r="X274" s="47"/>
      <c r="Y274" s="47"/>
      <c r="Z274" s="49"/>
      <c r="AA274" s="49"/>
      <c r="AB274" s="20"/>
    </row>
    <row r="275" spans="1:28" ht="15.75" customHeight="1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8"/>
      <c r="K275" s="47"/>
      <c r="L275" s="47"/>
      <c r="M275" s="47"/>
      <c r="N275" s="47"/>
      <c r="O275" s="47"/>
      <c r="P275" s="47"/>
      <c r="Q275" s="47"/>
      <c r="R275" s="47"/>
      <c r="S275" s="49"/>
      <c r="T275" s="49"/>
      <c r="U275" s="47"/>
      <c r="V275" s="50"/>
      <c r="W275" s="47"/>
      <c r="X275" s="47"/>
      <c r="Y275" s="47"/>
      <c r="Z275" s="49"/>
      <c r="AA275" s="49"/>
      <c r="AB275" s="20"/>
    </row>
    <row r="276" spans="1:28" ht="15.75" customHeight="1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8"/>
      <c r="K276" s="47"/>
      <c r="L276" s="47"/>
      <c r="M276" s="47"/>
      <c r="N276" s="47"/>
      <c r="O276" s="47"/>
      <c r="P276" s="47"/>
      <c r="Q276" s="47"/>
      <c r="R276" s="47"/>
      <c r="S276" s="49"/>
      <c r="T276" s="49"/>
      <c r="U276" s="47"/>
      <c r="V276" s="50"/>
      <c r="W276" s="47"/>
      <c r="X276" s="47"/>
      <c r="Y276" s="47"/>
      <c r="Z276" s="49"/>
      <c r="AA276" s="49"/>
      <c r="AB276" s="20"/>
    </row>
    <row r="277" spans="1:28" ht="15.75" customHeight="1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8"/>
      <c r="K277" s="47"/>
      <c r="L277" s="47"/>
      <c r="M277" s="47"/>
      <c r="N277" s="47"/>
      <c r="O277" s="47"/>
      <c r="P277" s="47"/>
      <c r="Q277" s="47"/>
      <c r="R277" s="47"/>
      <c r="S277" s="49"/>
      <c r="T277" s="49"/>
      <c r="U277" s="47"/>
      <c r="V277" s="50"/>
      <c r="W277" s="47"/>
      <c r="X277" s="47"/>
      <c r="Y277" s="47"/>
      <c r="Z277" s="49"/>
      <c r="AA277" s="49"/>
      <c r="AB277" s="20"/>
    </row>
    <row r="278" spans="1:28" ht="15.75" customHeight="1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8"/>
      <c r="K278" s="47"/>
      <c r="L278" s="47"/>
      <c r="M278" s="47"/>
      <c r="N278" s="47"/>
      <c r="O278" s="47"/>
      <c r="P278" s="47"/>
      <c r="Q278" s="47"/>
      <c r="R278" s="47"/>
      <c r="S278" s="49"/>
      <c r="T278" s="49"/>
      <c r="U278" s="47"/>
      <c r="V278" s="50"/>
      <c r="W278" s="47"/>
      <c r="X278" s="47"/>
      <c r="Y278" s="47"/>
      <c r="Z278" s="49"/>
      <c r="AA278" s="49"/>
      <c r="AB278" s="20"/>
    </row>
    <row r="279" spans="1:28" ht="15.75" customHeight="1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8"/>
      <c r="K279" s="47"/>
      <c r="L279" s="47"/>
      <c r="M279" s="47"/>
      <c r="N279" s="47"/>
      <c r="O279" s="47"/>
      <c r="P279" s="47"/>
      <c r="Q279" s="47"/>
      <c r="R279" s="47"/>
      <c r="S279" s="49"/>
      <c r="T279" s="49"/>
      <c r="U279" s="47"/>
      <c r="V279" s="50"/>
      <c r="W279" s="47"/>
      <c r="X279" s="47"/>
      <c r="Y279" s="47"/>
      <c r="Z279" s="49"/>
      <c r="AA279" s="49"/>
      <c r="AB279" s="20"/>
    </row>
    <row r="280" spans="1:28" ht="15.75" customHeight="1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8"/>
      <c r="K280" s="47"/>
      <c r="L280" s="47"/>
      <c r="M280" s="47"/>
      <c r="N280" s="47"/>
      <c r="O280" s="47"/>
      <c r="P280" s="47"/>
      <c r="Q280" s="47"/>
      <c r="R280" s="47"/>
      <c r="S280" s="49"/>
      <c r="T280" s="49"/>
      <c r="U280" s="47"/>
      <c r="V280" s="50"/>
      <c r="W280" s="47"/>
      <c r="X280" s="47"/>
      <c r="Y280" s="47"/>
      <c r="Z280" s="49"/>
      <c r="AA280" s="49"/>
      <c r="AB280" s="20"/>
    </row>
    <row r="281" spans="1:28" ht="15.75" customHeight="1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8"/>
      <c r="K281" s="47"/>
      <c r="L281" s="47"/>
      <c r="M281" s="47"/>
      <c r="N281" s="47"/>
      <c r="O281" s="47"/>
      <c r="P281" s="47"/>
      <c r="Q281" s="47"/>
      <c r="R281" s="47"/>
      <c r="S281" s="49"/>
      <c r="T281" s="49"/>
      <c r="U281" s="47"/>
      <c r="V281" s="50"/>
      <c r="W281" s="47"/>
      <c r="X281" s="47"/>
      <c r="Y281" s="47"/>
      <c r="Z281" s="49"/>
      <c r="AA281" s="49"/>
      <c r="AB281" s="20"/>
    </row>
    <row r="282" spans="1:28" ht="15.75" customHeight="1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8"/>
      <c r="K282" s="47"/>
      <c r="L282" s="47"/>
      <c r="M282" s="47"/>
      <c r="N282" s="47"/>
      <c r="O282" s="47"/>
      <c r="P282" s="47"/>
      <c r="Q282" s="47"/>
      <c r="R282" s="47"/>
      <c r="S282" s="49"/>
      <c r="T282" s="49"/>
      <c r="U282" s="47"/>
      <c r="V282" s="50"/>
      <c r="W282" s="47"/>
      <c r="X282" s="47"/>
      <c r="Y282" s="47"/>
      <c r="Z282" s="49"/>
      <c r="AA282" s="49"/>
      <c r="AB282" s="20"/>
    </row>
    <row r="283" spans="1:28" ht="15.75" customHeight="1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8"/>
      <c r="K283" s="47"/>
      <c r="L283" s="47"/>
      <c r="M283" s="47"/>
      <c r="N283" s="47"/>
      <c r="O283" s="47"/>
      <c r="P283" s="47"/>
      <c r="Q283" s="47"/>
      <c r="R283" s="47"/>
      <c r="S283" s="49"/>
      <c r="T283" s="49"/>
      <c r="U283" s="47"/>
      <c r="V283" s="50"/>
      <c r="W283" s="47"/>
      <c r="X283" s="47"/>
      <c r="Y283" s="47"/>
      <c r="Z283" s="49"/>
      <c r="AA283" s="49"/>
      <c r="AB283" s="20"/>
    </row>
    <row r="284" spans="1:28" ht="15.75" customHeight="1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8"/>
      <c r="K284" s="47"/>
      <c r="L284" s="47"/>
      <c r="M284" s="47"/>
      <c r="N284" s="47"/>
      <c r="O284" s="47"/>
      <c r="P284" s="47"/>
      <c r="Q284" s="47"/>
      <c r="R284" s="47"/>
      <c r="S284" s="49"/>
      <c r="T284" s="49"/>
      <c r="U284" s="47"/>
      <c r="V284" s="50"/>
      <c r="W284" s="47"/>
      <c r="X284" s="47"/>
      <c r="Y284" s="47"/>
      <c r="Z284" s="49"/>
      <c r="AA284" s="49"/>
      <c r="AB284" s="20"/>
    </row>
    <row r="285" spans="1:28" ht="15.75" customHeight="1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8"/>
      <c r="K285" s="47"/>
      <c r="L285" s="47"/>
      <c r="M285" s="47"/>
      <c r="N285" s="47"/>
      <c r="O285" s="47"/>
      <c r="P285" s="47"/>
      <c r="Q285" s="47"/>
      <c r="R285" s="47"/>
      <c r="S285" s="49"/>
      <c r="T285" s="49"/>
      <c r="U285" s="47"/>
      <c r="V285" s="50"/>
      <c r="W285" s="47"/>
      <c r="X285" s="47"/>
      <c r="Y285" s="47"/>
      <c r="Z285" s="49"/>
      <c r="AA285" s="49"/>
      <c r="AB285" s="20"/>
    </row>
    <row r="286" spans="1:28" ht="15.75" customHeight="1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8"/>
      <c r="K286" s="47"/>
      <c r="L286" s="47"/>
      <c r="M286" s="47"/>
      <c r="N286" s="47"/>
      <c r="O286" s="47"/>
      <c r="P286" s="47"/>
      <c r="Q286" s="47"/>
      <c r="R286" s="47"/>
      <c r="S286" s="49"/>
      <c r="T286" s="49"/>
      <c r="U286" s="47"/>
      <c r="V286" s="50"/>
      <c r="W286" s="47"/>
      <c r="X286" s="47"/>
      <c r="Y286" s="47"/>
      <c r="Z286" s="49"/>
      <c r="AA286" s="49"/>
      <c r="AB286" s="20"/>
    </row>
    <row r="287" spans="1:28" ht="15.75" customHeight="1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8"/>
      <c r="K287" s="47"/>
      <c r="L287" s="47"/>
      <c r="M287" s="47"/>
      <c r="N287" s="47"/>
      <c r="O287" s="47"/>
      <c r="P287" s="47"/>
      <c r="Q287" s="47"/>
      <c r="R287" s="47"/>
      <c r="S287" s="49"/>
      <c r="T287" s="49"/>
      <c r="U287" s="47"/>
      <c r="V287" s="50"/>
      <c r="W287" s="47"/>
      <c r="X287" s="47"/>
      <c r="Y287" s="47"/>
      <c r="Z287" s="49"/>
      <c r="AA287" s="49"/>
      <c r="AB287" s="20"/>
    </row>
    <row r="288" spans="1:28" ht="15.75" customHeight="1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8"/>
      <c r="K288" s="47"/>
      <c r="L288" s="47"/>
      <c r="M288" s="47"/>
      <c r="N288" s="47"/>
      <c r="O288" s="47"/>
      <c r="P288" s="47"/>
      <c r="Q288" s="47"/>
      <c r="R288" s="47"/>
      <c r="S288" s="49"/>
      <c r="T288" s="49"/>
      <c r="U288" s="47"/>
      <c r="V288" s="50"/>
      <c r="W288" s="47"/>
      <c r="X288" s="47"/>
      <c r="Y288" s="47"/>
      <c r="Z288" s="49"/>
      <c r="AA288" s="49"/>
      <c r="AB288" s="20"/>
    </row>
    <row r="289" spans="1:28" ht="15.75" customHeight="1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8"/>
      <c r="K289" s="47"/>
      <c r="L289" s="47"/>
      <c r="M289" s="47"/>
      <c r="N289" s="47"/>
      <c r="O289" s="47"/>
      <c r="P289" s="47"/>
      <c r="Q289" s="47"/>
      <c r="R289" s="47"/>
      <c r="S289" s="49"/>
      <c r="T289" s="49"/>
      <c r="U289" s="47"/>
      <c r="V289" s="50"/>
      <c r="W289" s="47"/>
      <c r="X289" s="47"/>
      <c r="Y289" s="47"/>
      <c r="Z289" s="49"/>
      <c r="AA289" s="49"/>
      <c r="AB289" s="20"/>
    </row>
    <row r="290" spans="1:28" ht="15.75" customHeight="1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8"/>
      <c r="K290" s="47"/>
      <c r="L290" s="47"/>
      <c r="M290" s="47"/>
      <c r="N290" s="47"/>
      <c r="O290" s="47"/>
      <c r="P290" s="47"/>
      <c r="Q290" s="47"/>
      <c r="R290" s="47"/>
      <c r="S290" s="49"/>
      <c r="T290" s="49"/>
      <c r="U290" s="47"/>
      <c r="V290" s="50"/>
      <c r="W290" s="47"/>
      <c r="X290" s="47"/>
      <c r="Y290" s="47"/>
      <c r="Z290" s="49"/>
      <c r="AA290" s="49"/>
      <c r="AB290" s="20"/>
    </row>
    <row r="291" spans="1:28" ht="15.75" customHeight="1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8"/>
      <c r="K291" s="47"/>
      <c r="L291" s="47"/>
      <c r="M291" s="47"/>
      <c r="N291" s="47"/>
      <c r="O291" s="47"/>
      <c r="P291" s="47"/>
      <c r="Q291" s="47"/>
      <c r="R291" s="47"/>
      <c r="S291" s="49"/>
      <c r="T291" s="49"/>
      <c r="U291" s="47"/>
      <c r="V291" s="50"/>
      <c r="W291" s="47"/>
      <c r="X291" s="47"/>
      <c r="Y291" s="47"/>
      <c r="Z291" s="49"/>
      <c r="AA291" s="49"/>
      <c r="AB291" s="20"/>
    </row>
    <row r="292" spans="1:28" ht="15.75" customHeight="1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8"/>
      <c r="K292" s="47"/>
      <c r="L292" s="47"/>
      <c r="M292" s="47"/>
      <c r="N292" s="47"/>
      <c r="O292" s="47"/>
      <c r="P292" s="47"/>
      <c r="Q292" s="47"/>
      <c r="R292" s="47"/>
      <c r="S292" s="49"/>
      <c r="T292" s="49"/>
      <c r="U292" s="47"/>
      <c r="V292" s="50"/>
      <c r="W292" s="47"/>
      <c r="X292" s="47"/>
      <c r="Y292" s="47"/>
      <c r="Z292" s="49"/>
      <c r="AA292" s="49"/>
      <c r="AB292" s="20"/>
    </row>
    <row r="293" spans="1:28" ht="15.75" customHeight="1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8"/>
      <c r="K293" s="47"/>
      <c r="L293" s="47"/>
      <c r="M293" s="47"/>
      <c r="N293" s="47"/>
      <c r="O293" s="47"/>
      <c r="P293" s="47"/>
      <c r="Q293" s="47"/>
      <c r="R293" s="47"/>
      <c r="S293" s="49"/>
      <c r="T293" s="49"/>
      <c r="U293" s="47"/>
      <c r="V293" s="50"/>
      <c r="W293" s="47"/>
      <c r="X293" s="47"/>
      <c r="Y293" s="47"/>
      <c r="Z293" s="49"/>
      <c r="AA293" s="49"/>
      <c r="AB293" s="20"/>
    </row>
    <row r="294" spans="1:28" ht="15.75" customHeight="1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8"/>
      <c r="K294" s="47"/>
      <c r="L294" s="47"/>
      <c r="M294" s="47"/>
      <c r="N294" s="47"/>
      <c r="O294" s="47"/>
      <c r="P294" s="47"/>
      <c r="Q294" s="47"/>
      <c r="R294" s="47"/>
      <c r="S294" s="49"/>
      <c r="T294" s="49"/>
      <c r="U294" s="47"/>
      <c r="V294" s="50"/>
      <c r="W294" s="47"/>
      <c r="X294" s="47"/>
      <c r="Y294" s="47"/>
      <c r="Z294" s="49"/>
      <c r="AA294" s="49"/>
      <c r="AB294" s="20"/>
    </row>
    <row r="295" spans="1:28" ht="15.75" customHeight="1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8"/>
      <c r="K295" s="47"/>
      <c r="L295" s="47"/>
      <c r="M295" s="47"/>
      <c r="N295" s="47"/>
      <c r="O295" s="47"/>
      <c r="P295" s="47"/>
      <c r="Q295" s="47"/>
      <c r="R295" s="47"/>
      <c r="S295" s="49"/>
      <c r="T295" s="49"/>
      <c r="U295" s="47"/>
      <c r="V295" s="50"/>
      <c r="W295" s="47"/>
      <c r="X295" s="47"/>
      <c r="Y295" s="47"/>
      <c r="Z295" s="49"/>
      <c r="AA295" s="49"/>
      <c r="AB295" s="20"/>
    </row>
    <row r="296" spans="1:28" ht="15.75" customHeight="1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8"/>
      <c r="K296" s="47"/>
      <c r="L296" s="47"/>
      <c r="M296" s="47"/>
      <c r="N296" s="47"/>
      <c r="O296" s="47"/>
      <c r="P296" s="47"/>
      <c r="Q296" s="47"/>
      <c r="R296" s="47"/>
      <c r="S296" s="49"/>
      <c r="T296" s="49"/>
      <c r="U296" s="47"/>
      <c r="V296" s="50"/>
      <c r="W296" s="47"/>
      <c r="X296" s="47"/>
      <c r="Y296" s="47"/>
      <c r="Z296" s="49"/>
      <c r="AA296" s="49"/>
      <c r="AB296" s="20"/>
    </row>
    <row r="297" spans="1:28" ht="15.75" customHeight="1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8"/>
      <c r="K297" s="47"/>
      <c r="L297" s="47"/>
      <c r="M297" s="47"/>
      <c r="N297" s="47"/>
      <c r="O297" s="47"/>
      <c r="P297" s="47"/>
      <c r="Q297" s="47"/>
      <c r="R297" s="47"/>
      <c r="S297" s="49"/>
      <c r="T297" s="49"/>
      <c r="U297" s="47"/>
      <c r="V297" s="50"/>
      <c r="W297" s="47"/>
      <c r="X297" s="47"/>
      <c r="Y297" s="47"/>
      <c r="Z297" s="49"/>
      <c r="AA297" s="49"/>
      <c r="AB297" s="20"/>
    </row>
    <row r="298" spans="1:28" ht="15.75" customHeight="1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8"/>
      <c r="K298" s="47"/>
      <c r="L298" s="47"/>
      <c r="M298" s="47"/>
      <c r="N298" s="47"/>
      <c r="O298" s="47"/>
      <c r="P298" s="47"/>
      <c r="Q298" s="47"/>
      <c r="R298" s="47"/>
      <c r="S298" s="49"/>
      <c r="T298" s="49"/>
      <c r="U298" s="47"/>
      <c r="V298" s="50"/>
      <c r="W298" s="47"/>
      <c r="X298" s="47"/>
      <c r="Y298" s="47"/>
      <c r="Z298" s="49"/>
      <c r="AA298" s="49"/>
      <c r="AB298" s="20"/>
    </row>
    <row r="299" spans="1:28" ht="15.75" customHeight="1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8"/>
      <c r="K299" s="47"/>
      <c r="L299" s="47"/>
      <c r="M299" s="47"/>
      <c r="N299" s="47"/>
      <c r="O299" s="47"/>
      <c r="P299" s="47"/>
      <c r="Q299" s="47"/>
      <c r="R299" s="47"/>
      <c r="S299" s="49"/>
      <c r="T299" s="49"/>
      <c r="U299" s="47"/>
      <c r="V299" s="50"/>
      <c r="W299" s="47"/>
      <c r="X299" s="47"/>
      <c r="Y299" s="47"/>
      <c r="Z299" s="49"/>
      <c r="AA299" s="49"/>
      <c r="AB299" s="20"/>
    </row>
    <row r="300" spans="1:28" ht="15.75" customHeight="1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8"/>
      <c r="K300" s="47"/>
      <c r="L300" s="47"/>
      <c r="M300" s="47"/>
      <c r="N300" s="47"/>
      <c r="O300" s="47"/>
      <c r="P300" s="47"/>
      <c r="Q300" s="47"/>
      <c r="R300" s="47"/>
      <c r="S300" s="49"/>
      <c r="T300" s="49"/>
      <c r="U300" s="47"/>
      <c r="V300" s="50"/>
      <c r="W300" s="47"/>
      <c r="X300" s="47"/>
      <c r="Y300" s="47"/>
      <c r="Z300" s="49"/>
      <c r="AA300" s="49"/>
      <c r="AB300" s="20"/>
    </row>
    <row r="301" spans="1:28" ht="15.75" customHeight="1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8"/>
      <c r="K301" s="47"/>
      <c r="L301" s="47"/>
      <c r="M301" s="47"/>
      <c r="N301" s="47"/>
      <c r="O301" s="47"/>
      <c r="P301" s="47"/>
      <c r="Q301" s="47"/>
      <c r="R301" s="47"/>
      <c r="S301" s="49"/>
      <c r="T301" s="49"/>
      <c r="U301" s="47"/>
      <c r="V301" s="50"/>
      <c r="W301" s="47"/>
      <c r="X301" s="47"/>
      <c r="Y301" s="47"/>
      <c r="Z301" s="49"/>
      <c r="AA301" s="49"/>
      <c r="AB301" s="20"/>
    </row>
    <row r="302" spans="1:28" ht="15.75" customHeight="1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8"/>
      <c r="K302" s="47"/>
      <c r="L302" s="47"/>
      <c r="M302" s="47"/>
      <c r="N302" s="47"/>
      <c r="O302" s="47"/>
      <c r="P302" s="47"/>
      <c r="Q302" s="47"/>
      <c r="R302" s="47"/>
      <c r="S302" s="49"/>
      <c r="T302" s="49"/>
      <c r="U302" s="47"/>
      <c r="V302" s="50"/>
      <c r="W302" s="47"/>
      <c r="X302" s="47"/>
      <c r="Y302" s="47"/>
      <c r="Z302" s="49"/>
      <c r="AA302" s="49"/>
      <c r="AB302" s="20"/>
    </row>
    <row r="303" spans="1:28" ht="15.75" customHeight="1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8"/>
      <c r="K303" s="47"/>
      <c r="L303" s="47"/>
      <c r="M303" s="47"/>
      <c r="N303" s="47"/>
      <c r="O303" s="47"/>
      <c r="P303" s="47"/>
      <c r="Q303" s="47"/>
      <c r="R303" s="47"/>
      <c r="S303" s="49"/>
      <c r="T303" s="49"/>
      <c r="U303" s="47"/>
      <c r="V303" s="50"/>
      <c r="W303" s="47"/>
      <c r="X303" s="47"/>
      <c r="Y303" s="47"/>
      <c r="Z303" s="49"/>
      <c r="AA303" s="49"/>
      <c r="AB303" s="20"/>
    </row>
    <row r="304" spans="1:28" ht="15.75" customHeight="1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8"/>
      <c r="K304" s="47"/>
      <c r="L304" s="47"/>
      <c r="M304" s="47"/>
      <c r="N304" s="47"/>
      <c r="O304" s="47"/>
      <c r="P304" s="47"/>
      <c r="Q304" s="47"/>
      <c r="R304" s="47"/>
      <c r="S304" s="49"/>
      <c r="T304" s="49"/>
      <c r="U304" s="47"/>
      <c r="V304" s="50"/>
      <c r="W304" s="47"/>
      <c r="X304" s="47"/>
      <c r="Y304" s="47"/>
      <c r="Z304" s="49"/>
      <c r="AA304" s="49"/>
      <c r="AB304" s="20"/>
    </row>
    <row r="305" spans="1:28" ht="15.75" customHeight="1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8"/>
      <c r="K305" s="47"/>
      <c r="L305" s="47"/>
      <c r="M305" s="47"/>
      <c r="N305" s="47"/>
      <c r="O305" s="47"/>
      <c r="P305" s="47"/>
      <c r="Q305" s="47"/>
      <c r="R305" s="47"/>
      <c r="S305" s="49"/>
      <c r="T305" s="49"/>
      <c r="U305" s="47"/>
      <c r="V305" s="50"/>
      <c r="W305" s="47"/>
      <c r="X305" s="47"/>
      <c r="Y305" s="47"/>
      <c r="Z305" s="49"/>
      <c r="AA305" s="49"/>
      <c r="AB305" s="20"/>
    </row>
    <row r="306" spans="1:28" ht="15.75" customHeight="1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8"/>
      <c r="K306" s="47"/>
      <c r="L306" s="47"/>
      <c r="M306" s="47"/>
      <c r="N306" s="47"/>
      <c r="O306" s="47"/>
      <c r="P306" s="47"/>
      <c r="Q306" s="47"/>
      <c r="R306" s="47"/>
      <c r="S306" s="49"/>
      <c r="T306" s="49"/>
      <c r="U306" s="47"/>
      <c r="V306" s="50"/>
      <c r="W306" s="47"/>
      <c r="X306" s="47"/>
      <c r="Y306" s="47"/>
      <c r="Z306" s="49"/>
      <c r="AA306" s="49"/>
      <c r="AB306" s="20"/>
    </row>
    <row r="307" spans="1:28" ht="15.75" customHeight="1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8"/>
      <c r="K307" s="47"/>
      <c r="L307" s="47"/>
      <c r="M307" s="47"/>
      <c r="N307" s="47"/>
      <c r="O307" s="47"/>
      <c r="P307" s="47"/>
      <c r="Q307" s="47"/>
      <c r="R307" s="47"/>
      <c r="S307" s="49"/>
      <c r="T307" s="49"/>
      <c r="U307" s="47"/>
      <c r="V307" s="50"/>
      <c r="W307" s="47"/>
      <c r="X307" s="47"/>
      <c r="Y307" s="47"/>
      <c r="Z307" s="49"/>
      <c r="AA307" s="49"/>
      <c r="AB307" s="20"/>
    </row>
    <row r="308" spans="1:28" ht="15.75" customHeight="1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8"/>
      <c r="K308" s="47"/>
      <c r="L308" s="47"/>
      <c r="M308" s="47"/>
      <c r="N308" s="47"/>
      <c r="O308" s="47"/>
      <c r="P308" s="47"/>
      <c r="Q308" s="47"/>
      <c r="R308" s="47"/>
      <c r="S308" s="49"/>
      <c r="T308" s="49"/>
      <c r="U308" s="47"/>
      <c r="V308" s="50"/>
      <c r="W308" s="47"/>
      <c r="X308" s="47"/>
      <c r="Y308" s="47"/>
      <c r="Z308" s="49"/>
      <c r="AA308" s="49"/>
      <c r="AB308" s="20"/>
    </row>
    <row r="309" spans="1:28" ht="15.75" customHeight="1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8"/>
      <c r="K309" s="47"/>
      <c r="L309" s="47"/>
      <c r="M309" s="47"/>
      <c r="N309" s="47"/>
      <c r="O309" s="47"/>
      <c r="P309" s="47"/>
      <c r="Q309" s="47"/>
      <c r="R309" s="47"/>
      <c r="S309" s="49"/>
      <c r="T309" s="49"/>
      <c r="U309" s="47"/>
      <c r="V309" s="50"/>
      <c r="W309" s="47"/>
      <c r="X309" s="47"/>
      <c r="Y309" s="47"/>
      <c r="Z309" s="49"/>
      <c r="AA309" s="49"/>
      <c r="AB309" s="20"/>
    </row>
    <row r="310" spans="1:28" ht="15.75" customHeight="1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8"/>
      <c r="K310" s="47"/>
      <c r="L310" s="47"/>
      <c r="M310" s="47"/>
      <c r="N310" s="47"/>
      <c r="O310" s="47"/>
      <c r="P310" s="47"/>
      <c r="Q310" s="47"/>
      <c r="R310" s="47"/>
      <c r="S310" s="49"/>
      <c r="T310" s="49"/>
      <c r="U310" s="47"/>
      <c r="V310" s="50"/>
      <c r="W310" s="47"/>
      <c r="X310" s="47"/>
      <c r="Y310" s="47"/>
      <c r="Z310" s="49"/>
      <c r="AA310" s="49"/>
      <c r="AB310" s="20"/>
    </row>
    <row r="311" spans="1:28" ht="15.75" customHeight="1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8"/>
      <c r="K311" s="47"/>
      <c r="L311" s="47"/>
      <c r="M311" s="47"/>
      <c r="N311" s="47"/>
      <c r="O311" s="47"/>
      <c r="P311" s="47"/>
      <c r="Q311" s="47"/>
      <c r="R311" s="47"/>
      <c r="S311" s="49"/>
      <c r="T311" s="49"/>
      <c r="U311" s="47"/>
      <c r="V311" s="50"/>
      <c r="W311" s="47"/>
      <c r="X311" s="47"/>
      <c r="Y311" s="47"/>
      <c r="Z311" s="49"/>
      <c r="AA311" s="49"/>
      <c r="AB311" s="20"/>
    </row>
    <row r="312" spans="1:28" ht="15.75" customHeight="1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8"/>
      <c r="K312" s="47"/>
      <c r="L312" s="47"/>
      <c r="M312" s="47"/>
      <c r="N312" s="47"/>
      <c r="O312" s="47"/>
      <c r="P312" s="47"/>
      <c r="Q312" s="47"/>
      <c r="R312" s="47"/>
      <c r="S312" s="49"/>
      <c r="T312" s="49"/>
      <c r="U312" s="47"/>
      <c r="V312" s="50"/>
      <c r="W312" s="47"/>
      <c r="X312" s="47"/>
      <c r="Y312" s="47"/>
      <c r="Z312" s="49"/>
      <c r="AA312" s="49"/>
      <c r="AB312" s="20"/>
    </row>
    <row r="313" spans="1:28" ht="15.75" customHeight="1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8"/>
      <c r="K313" s="47"/>
      <c r="L313" s="47"/>
      <c r="M313" s="47"/>
      <c r="N313" s="47"/>
      <c r="O313" s="47"/>
      <c r="P313" s="47"/>
      <c r="Q313" s="47"/>
      <c r="R313" s="47"/>
      <c r="S313" s="49"/>
      <c r="T313" s="49"/>
      <c r="U313" s="47"/>
      <c r="V313" s="50"/>
      <c r="W313" s="47"/>
      <c r="X313" s="47"/>
      <c r="Y313" s="47"/>
      <c r="Z313" s="49"/>
      <c r="AA313" s="49"/>
      <c r="AB313" s="20"/>
    </row>
    <row r="314" spans="1:28" ht="15.75" customHeight="1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8"/>
      <c r="K314" s="47"/>
      <c r="L314" s="47"/>
      <c r="M314" s="47"/>
      <c r="N314" s="47"/>
      <c r="O314" s="47"/>
      <c r="P314" s="47"/>
      <c r="Q314" s="47"/>
      <c r="R314" s="47"/>
      <c r="S314" s="49"/>
      <c r="T314" s="49"/>
      <c r="U314" s="47"/>
      <c r="V314" s="50"/>
      <c r="W314" s="47"/>
      <c r="X314" s="47"/>
      <c r="Y314" s="47"/>
      <c r="Z314" s="49"/>
      <c r="AA314" s="49"/>
      <c r="AB314" s="20"/>
    </row>
    <row r="315" spans="1:28" ht="15.75" customHeight="1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8"/>
      <c r="K315" s="47"/>
      <c r="L315" s="47"/>
      <c r="M315" s="47"/>
      <c r="N315" s="47"/>
      <c r="O315" s="47"/>
      <c r="P315" s="47"/>
      <c r="Q315" s="47"/>
      <c r="R315" s="47"/>
      <c r="S315" s="49"/>
      <c r="T315" s="49"/>
      <c r="U315" s="47"/>
      <c r="V315" s="50"/>
      <c r="W315" s="47"/>
      <c r="X315" s="47"/>
      <c r="Y315" s="47"/>
      <c r="Z315" s="49"/>
      <c r="AA315" s="49"/>
      <c r="AB315" s="20"/>
    </row>
    <row r="316" spans="1:28" ht="15.75" customHeight="1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8"/>
      <c r="K316" s="47"/>
      <c r="L316" s="47"/>
      <c r="M316" s="47"/>
      <c r="N316" s="47"/>
      <c r="O316" s="47"/>
      <c r="P316" s="47"/>
      <c r="Q316" s="47"/>
      <c r="R316" s="47"/>
      <c r="S316" s="49"/>
      <c r="T316" s="49"/>
      <c r="U316" s="47"/>
      <c r="V316" s="50"/>
      <c r="W316" s="47"/>
      <c r="X316" s="47"/>
      <c r="Y316" s="47"/>
      <c r="Z316" s="49"/>
      <c r="AA316" s="49"/>
      <c r="AB316" s="20"/>
    </row>
    <row r="317" spans="1:28" ht="15.75" customHeight="1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8"/>
      <c r="K317" s="47"/>
      <c r="L317" s="47"/>
      <c r="M317" s="47"/>
      <c r="N317" s="47"/>
      <c r="O317" s="47"/>
      <c r="P317" s="47"/>
      <c r="Q317" s="47"/>
      <c r="R317" s="47"/>
      <c r="S317" s="49"/>
      <c r="T317" s="49"/>
      <c r="U317" s="47"/>
      <c r="V317" s="50"/>
      <c r="W317" s="47"/>
      <c r="X317" s="47"/>
      <c r="Y317" s="47"/>
      <c r="Z317" s="49"/>
      <c r="AA317" s="49"/>
      <c r="AB317" s="20"/>
    </row>
    <row r="318" spans="1:28" ht="15.75" customHeight="1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8"/>
      <c r="K318" s="47"/>
      <c r="L318" s="47"/>
      <c r="M318" s="47"/>
      <c r="N318" s="47"/>
      <c r="O318" s="47"/>
      <c r="P318" s="47"/>
      <c r="Q318" s="47"/>
      <c r="R318" s="47"/>
      <c r="S318" s="49"/>
      <c r="T318" s="49"/>
      <c r="U318" s="47"/>
      <c r="V318" s="50"/>
      <c r="W318" s="47"/>
      <c r="X318" s="47"/>
      <c r="Y318" s="47"/>
      <c r="Z318" s="49"/>
      <c r="AA318" s="49"/>
      <c r="AB318" s="20"/>
    </row>
    <row r="319" spans="1:28" ht="15.75" customHeight="1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8"/>
      <c r="K319" s="47"/>
      <c r="L319" s="47"/>
      <c r="M319" s="47"/>
      <c r="N319" s="47"/>
      <c r="O319" s="47"/>
      <c r="P319" s="47"/>
      <c r="Q319" s="47"/>
      <c r="R319" s="47"/>
      <c r="S319" s="49"/>
      <c r="T319" s="49"/>
      <c r="U319" s="47"/>
      <c r="V319" s="50"/>
      <c r="W319" s="47"/>
      <c r="X319" s="47"/>
      <c r="Y319" s="47"/>
      <c r="Z319" s="49"/>
      <c r="AA319" s="49"/>
      <c r="AB319" s="20"/>
    </row>
    <row r="320" spans="1:28" ht="15.75" customHeight="1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8"/>
      <c r="K320" s="47"/>
      <c r="L320" s="47"/>
      <c r="M320" s="47"/>
      <c r="N320" s="47"/>
      <c r="O320" s="47"/>
      <c r="P320" s="47"/>
      <c r="Q320" s="47"/>
      <c r="R320" s="47"/>
      <c r="S320" s="49"/>
      <c r="T320" s="49"/>
      <c r="U320" s="47"/>
      <c r="V320" s="50"/>
      <c r="W320" s="47"/>
      <c r="X320" s="47"/>
      <c r="Y320" s="47"/>
      <c r="Z320" s="49"/>
      <c r="AA320" s="49"/>
      <c r="AB320" s="20"/>
    </row>
    <row r="321" spans="1:28" ht="15.75" customHeight="1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8"/>
      <c r="K321" s="47"/>
      <c r="L321" s="47"/>
      <c r="M321" s="47"/>
      <c r="N321" s="47"/>
      <c r="O321" s="47"/>
      <c r="P321" s="47"/>
      <c r="Q321" s="47"/>
      <c r="R321" s="47"/>
      <c r="S321" s="49"/>
      <c r="T321" s="49"/>
      <c r="U321" s="47"/>
      <c r="V321" s="50"/>
      <c r="W321" s="47"/>
      <c r="X321" s="47"/>
      <c r="Y321" s="47"/>
      <c r="Z321" s="49"/>
      <c r="AA321" s="49"/>
      <c r="AB321" s="20"/>
    </row>
    <row r="322" spans="1:28" ht="15.75" customHeight="1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8"/>
      <c r="K322" s="47"/>
      <c r="L322" s="47"/>
      <c r="M322" s="47"/>
      <c r="N322" s="47"/>
      <c r="O322" s="47"/>
      <c r="P322" s="47"/>
      <c r="Q322" s="47"/>
      <c r="R322" s="47"/>
      <c r="S322" s="49"/>
      <c r="T322" s="49"/>
      <c r="U322" s="47"/>
      <c r="V322" s="50"/>
      <c r="W322" s="47"/>
      <c r="X322" s="47"/>
      <c r="Y322" s="47"/>
      <c r="Z322" s="49"/>
      <c r="AA322" s="49"/>
      <c r="AB322" s="20"/>
    </row>
    <row r="323" spans="1:28" ht="15.75" customHeight="1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8"/>
      <c r="K323" s="47"/>
      <c r="L323" s="47"/>
      <c r="M323" s="47"/>
      <c r="N323" s="47"/>
      <c r="O323" s="47"/>
      <c r="P323" s="47"/>
      <c r="Q323" s="47"/>
      <c r="R323" s="47"/>
      <c r="S323" s="49"/>
      <c r="T323" s="49"/>
      <c r="U323" s="47"/>
      <c r="V323" s="50"/>
      <c r="W323" s="47"/>
      <c r="X323" s="47"/>
      <c r="Y323" s="47"/>
      <c r="Z323" s="49"/>
      <c r="AA323" s="49"/>
      <c r="AB323" s="20"/>
    </row>
    <row r="324" spans="1:28" ht="15.75" customHeight="1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8"/>
      <c r="K324" s="47"/>
      <c r="L324" s="47"/>
      <c r="M324" s="47"/>
      <c r="N324" s="47"/>
      <c r="O324" s="47"/>
      <c r="P324" s="47"/>
      <c r="Q324" s="47"/>
      <c r="R324" s="47"/>
      <c r="S324" s="49"/>
      <c r="T324" s="49"/>
      <c r="U324" s="47"/>
      <c r="V324" s="50"/>
      <c r="W324" s="47"/>
      <c r="X324" s="47"/>
      <c r="Y324" s="47"/>
      <c r="Z324" s="49"/>
      <c r="AA324" s="49"/>
      <c r="AB324" s="20"/>
    </row>
    <row r="325" spans="1:28" ht="15.75" customHeight="1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8"/>
      <c r="K325" s="47"/>
      <c r="L325" s="47"/>
      <c r="M325" s="47"/>
      <c r="N325" s="47"/>
      <c r="O325" s="47"/>
      <c r="P325" s="47"/>
      <c r="Q325" s="47"/>
      <c r="R325" s="47"/>
      <c r="S325" s="49"/>
      <c r="T325" s="49"/>
      <c r="U325" s="47"/>
      <c r="V325" s="50"/>
      <c r="W325" s="47"/>
      <c r="X325" s="47"/>
      <c r="Y325" s="47"/>
      <c r="Z325" s="49"/>
      <c r="AA325" s="49"/>
      <c r="AB325" s="20"/>
    </row>
    <row r="326" spans="1:28" ht="15.75" customHeight="1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8"/>
      <c r="K326" s="47"/>
      <c r="L326" s="47"/>
      <c r="M326" s="47"/>
      <c r="N326" s="47"/>
      <c r="O326" s="47"/>
      <c r="P326" s="47"/>
      <c r="Q326" s="47"/>
      <c r="R326" s="47"/>
      <c r="S326" s="49"/>
      <c r="T326" s="49"/>
      <c r="U326" s="47"/>
      <c r="V326" s="50"/>
      <c r="W326" s="47"/>
      <c r="X326" s="47"/>
      <c r="Y326" s="47"/>
      <c r="Z326" s="49"/>
      <c r="AA326" s="49"/>
      <c r="AB326" s="20"/>
    </row>
    <row r="327" spans="1:28" ht="15.75" customHeight="1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8"/>
      <c r="K327" s="47"/>
      <c r="L327" s="47"/>
      <c r="M327" s="47"/>
      <c r="N327" s="47"/>
      <c r="O327" s="47"/>
      <c r="P327" s="47"/>
      <c r="Q327" s="47"/>
      <c r="R327" s="47"/>
      <c r="S327" s="49"/>
      <c r="T327" s="49"/>
      <c r="U327" s="47"/>
      <c r="V327" s="50"/>
      <c r="W327" s="47"/>
      <c r="X327" s="47"/>
      <c r="Y327" s="47"/>
      <c r="Z327" s="49"/>
      <c r="AA327" s="49"/>
      <c r="AB327" s="20"/>
    </row>
    <row r="328" spans="1:28" ht="15.75" customHeight="1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8"/>
      <c r="K328" s="47"/>
      <c r="L328" s="47"/>
      <c r="M328" s="47"/>
      <c r="N328" s="47"/>
      <c r="O328" s="47"/>
      <c r="P328" s="47"/>
      <c r="Q328" s="47"/>
      <c r="R328" s="47"/>
      <c r="S328" s="49"/>
      <c r="T328" s="49"/>
      <c r="U328" s="47"/>
      <c r="V328" s="50"/>
      <c r="W328" s="47"/>
      <c r="X328" s="47"/>
      <c r="Y328" s="47"/>
      <c r="Z328" s="49"/>
      <c r="AA328" s="49"/>
      <c r="AB328" s="20"/>
    </row>
    <row r="329" spans="1:28" ht="15.75" customHeight="1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8"/>
      <c r="K329" s="47"/>
      <c r="L329" s="47"/>
      <c r="M329" s="47"/>
      <c r="N329" s="47"/>
      <c r="O329" s="47"/>
      <c r="P329" s="47"/>
      <c r="Q329" s="47"/>
      <c r="R329" s="47"/>
      <c r="S329" s="49"/>
      <c r="T329" s="49"/>
      <c r="U329" s="47"/>
      <c r="V329" s="50"/>
      <c r="W329" s="47"/>
      <c r="X329" s="47"/>
      <c r="Y329" s="47"/>
      <c r="Z329" s="49"/>
      <c r="AA329" s="49"/>
      <c r="AB329" s="20"/>
    </row>
    <row r="330" spans="1:28" ht="15.75" customHeight="1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8"/>
      <c r="K330" s="47"/>
      <c r="L330" s="47"/>
      <c r="M330" s="47"/>
      <c r="N330" s="47"/>
      <c r="O330" s="47"/>
      <c r="P330" s="47"/>
      <c r="Q330" s="47"/>
      <c r="R330" s="47"/>
      <c r="S330" s="49"/>
      <c r="T330" s="49"/>
      <c r="U330" s="47"/>
      <c r="V330" s="50"/>
      <c r="W330" s="47"/>
      <c r="X330" s="47"/>
      <c r="Y330" s="47"/>
      <c r="Z330" s="49"/>
      <c r="AA330" s="49"/>
      <c r="AB330" s="20"/>
    </row>
    <row r="331" spans="1:28" ht="15.75" customHeight="1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8"/>
      <c r="K331" s="47"/>
      <c r="L331" s="47"/>
      <c r="M331" s="47"/>
      <c r="N331" s="47"/>
      <c r="O331" s="47"/>
      <c r="P331" s="47"/>
      <c r="Q331" s="47"/>
      <c r="R331" s="47"/>
      <c r="S331" s="49"/>
      <c r="T331" s="49"/>
      <c r="U331" s="47"/>
      <c r="V331" s="50"/>
      <c r="W331" s="47"/>
      <c r="X331" s="47"/>
      <c r="Y331" s="47"/>
      <c r="Z331" s="49"/>
      <c r="AA331" s="49"/>
      <c r="AB331" s="20"/>
    </row>
    <row r="332" spans="1:28" ht="15.75" customHeight="1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8"/>
      <c r="K332" s="47"/>
      <c r="L332" s="47"/>
      <c r="M332" s="47"/>
      <c r="N332" s="47"/>
      <c r="O332" s="47"/>
      <c r="P332" s="47"/>
      <c r="Q332" s="47"/>
      <c r="R332" s="47"/>
      <c r="S332" s="49"/>
      <c r="T332" s="49"/>
      <c r="U332" s="47"/>
      <c r="V332" s="50"/>
      <c r="W332" s="47"/>
      <c r="X332" s="47"/>
      <c r="Y332" s="47"/>
      <c r="Z332" s="49"/>
      <c r="AA332" s="49"/>
      <c r="AB332" s="20"/>
    </row>
    <row r="333" spans="1:28" ht="15.75" customHeight="1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8"/>
      <c r="K333" s="47"/>
      <c r="L333" s="47"/>
      <c r="M333" s="47"/>
      <c r="N333" s="47"/>
      <c r="O333" s="47"/>
      <c r="P333" s="47"/>
      <c r="Q333" s="47"/>
      <c r="R333" s="47"/>
      <c r="S333" s="49"/>
      <c r="T333" s="49"/>
      <c r="U333" s="47"/>
      <c r="V333" s="50"/>
      <c r="W333" s="47"/>
      <c r="X333" s="47"/>
      <c r="Y333" s="47"/>
      <c r="Z333" s="49"/>
      <c r="AA333" s="49"/>
      <c r="AB333" s="20"/>
    </row>
    <row r="334" spans="1:28" ht="15.75" customHeight="1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8"/>
      <c r="K334" s="47"/>
      <c r="L334" s="47"/>
      <c r="M334" s="47"/>
      <c r="N334" s="47"/>
      <c r="O334" s="47"/>
      <c r="P334" s="47"/>
      <c r="Q334" s="47"/>
      <c r="R334" s="47"/>
      <c r="S334" s="49"/>
      <c r="T334" s="49"/>
      <c r="U334" s="47"/>
      <c r="V334" s="50"/>
      <c r="W334" s="47"/>
      <c r="X334" s="47"/>
      <c r="Y334" s="47"/>
      <c r="Z334" s="49"/>
      <c r="AA334" s="49"/>
      <c r="AB334" s="20"/>
    </row>
    <row r="335" spans="1:28" ht="15.75" customHeight="1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8"/>
      <c r="K335" s="47"/>
      <c r="L335" s="47"/>
      <c r="M335" s="47"/>
      <c r="N335" s="47"/>
      <c r="O335" s="47"/>
      <c r="P335" s="47"/>
      <c r="Q335" s="47"/>
      <c r="R335" s="47"/>
      <c r="S335" s="49"/>
      <c r="T335" s="49"/>
      <c r="U335" s="47"/>
      <c r="V335" s="50"/>
      <c r="W335" s="47"/>
      <c r="X335" s="47"/>
      <c r="Y335" s="47"/>
      <c r="Z335" s="49"/>
      <c r="AA335" s="49"/>
      <c r="AB335" s="20"/>
    </row>
    <row r="336" spans="1:28" ht="15.75" customHeight="1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8"/>
      <c r="K336" s="47"/>
      <c r="L336" s="47"/>
      <c r="M336" s="47"/>
      <c r="N336" s="47"/>
      <c r="O336" s="47"/>
      <c r="P336" s="47"/>
      <c r="Q336" s="47"/>
      <c r="R336" s="47"/>
      <c r="S336" s="49"/>
      <c r="T336" s="49"/>
      <c r="U336" s="47"/>
      <c r="V336" s="50"/>
      <c r="W336" s="47"/>
      <c r="X336" s="47"/>
      <c r="Y336" s="47"/>
      <c r="Z336" s="49"/>
      <c r="AA336" s="49"/>
      <c r="AB336" s="20"/>
    </row>
    <row r="337" spans="1:28" ht="15.75" customHeight="1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8"/>
      <c r="K337" s="47"/>
      <c r="L337" s="47"/>
      <c r="M337" s="47"/>
      <c r="N337" s="47"/>
      <c r="O337" s="47"/>
      <c r="P337" s="47"/>
      <c r="Q337" s="47"/>
      <c r="R337" s="47"/>
      <c r="S337" s="49"/>
      <c r="T337" s="49"/>
      <c r="U337" s="47"/>
      <c r="V337" s="50"/>
      <c r="W337" s="47"/>
      <c r="X337" s="47"/>
      <c r="Y337" s="47"/>
      <c r="Z337" s="49"/>
      <c r="AA337" s="49"/>
      <c r="AB337" s="20"/>
    </row>
    <row r="338" spans="1:28" ht="15.75" customHeight="1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8"/>
      <c r="K338" s="47"/>
      <c r="L338" s="47"/>
      <c r="M338" s="47"/>
      <c r="N338" s="47"/>
      <c r="O338" s="47"/>
      <c r="P338" s="47"/>
      <c r="Q338" s="47"/>
      <c r="R338" s="47"/>
      <c r="S338" s="49"/>
      <c r="T338" s="49"/>
      <c r="U338" s="47"/>
      <c r="V338" s="50"/>
      <c r="W338" s="47"/>
      <c r="X338" s="47"/>
      <c r="Y338" s="47"/>
      <c r="Z338" s="49"/>
      <c r="AA338" s="49"/>
      <c r="AB338" s="20"/>
    </row>
    <row r="339" spans="1:28" ht="15.75" customHeight="1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8"/>
      <c r="K339" s="47"/>
      <c r="L339" s="47"/>
      <c r="M339" s="47"/>
      <c r="N339" s="47"/>
      <c r="O339" s="47"/>
      <c r="P339" s="47"/>
      <c r="Q339" s="47"/>
      <c r="R339" s="47"/>
      <c r="S339" s="49"/>
      <c r="T339" s="49"/>
      <c r="U339" s="47"/>
      <c r="V339" s="50"/>
      <c r="W339" s="47"/>
      <c r="X339" s="47"/>
      <c r="Y339" s="47"/>
      <c r="Z339" s="49"/>
      <c r="AA339" s="49"/>
      <c r="AB339" s="20"/>
    </row>
    <row r="340" spans="1:28" ht="15.75" customHeight="1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8"/>
      <c r="K340" s="47"/>
      <c r="L340" s="47"/>
      <c r="M340" s="47"/>
      <c r="N340" s="47"/>
      <c r="O340" s="47"/>
      <c r="P340" s="47"/>
      <c r="Q340" s="47"/>
      <c r="R340" s="47"/>
      <c r="S340" s="49"/>
      <c r="T340" s="49"/>
      <c r="U340" s="47"/>
      <c r="V340" s="50"/>
      <c r="W340" s="47"/>
      <c r="X340" s="47"/>
      <c r="Y340" s="47"/>
      <c r="Z340" s="49"/>
      <c r="AA340" s="49"/>
      <c r="AB340" s="20"/>
    </row>
    <row r="341" spans="1:28" ht="15.75" customHeight="1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8"/>
      <c r="K341" s="47"/>
      <c r="L341" s="47"/>
      <c r="M341" s="47"/>
      <c r="N341" s="47"/>
      <c r="O341" s="47"/>
      <c r="P341" s="47"/>
      <c r="Q341" s="47"/>
      <c r="R341" s="47"/>
      <c r="S341" s="49"/>
      <c r="T341" s="49"/>
      <c r="U341" s="47"/>
      <c r="V341" s="50"/>
      <c r="W341" s="47"/>
      <c r="X341" s="47"/>
      <c r="Y341" s="47"/>
      <c r="Z341" s="49"/>
      <c r="AA341" s="49"/>
      <c r="AB341" s="20"/>
    </row>
    <row r="342" spans="1:28" ht="15.75" customHeight="1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8"/>
      <c r="K342" s="47"/>
      <c r="L342" s="47"/>
      <c r="M342" s="47"/>
      <c r="N342" s="47"/>
      <c r="O342" s="47"/>
      <c r="P342" s="47"/>
      <c r="Q342" s="47"/>
      <c r="R342" s="47"/>
      <c r="S342" s="49"/>
      <c r="T342" s="49"/>
      <c r="U342" s="47"/>
      <c r="V342" s="50"/>
      <c r="W342" s="47"/>
      <c r="X342" s="47"/>
      <c r="Y342" s="47"/>
      <c r="Z342" s="49"/>
      <c r="AA342" s="49"/>
      <c r="AB342" s="20"/>
    </row>
    <row r="343" spans="1:28" ht="15.75" customHeight="1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8"/>
      <c r="K343" s="47"/>
      <c r="L343" s="47"/>
      <c r="M343" s="47"/>
      <c r="N343" s="47"/>
      <c r="O343" s="47"/>
      <c r="P343" s="47"/>
      <c r="Q343" s="47"/>
      <c r="R343" s="47"/>
      <c r="S343" s="49"/>
      <c r="T343" s="49"/>
      <c r="U343" s="47"/>
      <c r="V343" s="50"/>
      <c r="W343" s="47"/>
      <c r="X343" s="47"/>
      <c r="Y343" s="47"/>
      <c r="Z343" s="49"/>
      <c r="AA343" s="49"/>
      <c r="AB343" s="20"/>
    </row>
    <row r="344" spans="1:28" ht="15.75" customHeight="1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8"/>
      <c r="K344" s="47"/>
      <c r="L344" s="47"/>
      <c r="M344" s="47"/>
      <c r="N344" s="47"/>
      <c r="O344" s="47"/>
      <c r="P344" s="47"/>
      <c r="Q344" s="47"/>
      <c r="R344" s="47"/>
      <c r="S344" s="49"/>
      <c r="T344" s="49"/>
      <c r="U344" s="47"/>
      <c r="V344" s="50"/>
      <c r="W344" s="47"/>
      <c r="X344" s="47"/>
      <c r="Y344" s="47"/>
      <c r="Z344" s="49"/>
      <c r="AA344" s="49"/>
      <c r="AB344" s="20"/>
    </row>
    <row r="345" spans="1:28" ht="15.75" customHeight="1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8"/>
      <c r="K345" s="47"/>
      <c r="L345" s="47"/>
      <c r="M345" s="47"/>
      <c r="N345" s="47"/>
      <c r="O345" s="47"/>
      <c r="P345" s="47"/>
      <c r="Q345" s="47"/>
      <c r="R345" s="47"/>
      <c r="S345" s="49"/>
      <c r="T345" s="49"/>
      <c r="U345" s="47"/>
      <c r="V345" s="50"/>
      <c r="W345" s="47"/>
      <c r="X345" s="47"/>
      <c r="Y345" s="47"/>
      <c r="Z345" s="49"/>
      <c r="AA345" s="49"/>
      <c r="AB345" s="20"/>
    </row>
    <row r="346" spans="1:28" ht="15.75" customHeight="1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8"/>
      <c r="K346" s="47"/>
      <c r="L346" s="47"/>
      <c r="M346" s="47"/>
      <c r="N346" s="47"/>
      <c r="O346" s="47"/>
      <c r="P346" s="47"/>
      <c r="Q346" s="47"/>
      <c r="R346" s="47"/>
      <c r="S346" s="49"/>
      <c r="T346" s="49"/>
      <c r="U346" s="47"/>
      <c r="V346" s="50"/>
      <c r="W346" s="47"/>
      <c r="X346" s="47"/>
      <c r="Y346" s="47"/>
      <c r="Z346" s="49"/>
      <c r="AA346" s="49"/>
      <c r="AB346" s="20"/>
    </row>
    <row r="347" spans="1:28" ht="15.75" customHeight="1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8"/>
      <c r="K347" s="47"/>
      <c r="L347" s="47"/>
      <c r="M347" s="47"/>
      <c r="N347" s="47"/>
      <c r="O347" s="47"/>
      <c r="P347" s="47"/>
      <c r="Q347" s="47"/>
      <c r="R347" s="47"/>
      <c r="S347" s="49"/>
      <c r="T347" s="49"/>
      <c r="U347" s="47"/>
      <c r="V347" s="50"/>
      <c r="W347" s="47"/>
      <c r="X347" s="47"/>
      <c r="Y347" s="47"/>
      <c r="Z347" s="49"/>
      <c r="AA347" s="49"/>
      <c r="AB347" s="20"/>
    </row>
    <row r="348" spans="1:28" ht="15.75" customHeight="1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8"/>
      <c r="K348" s="47"/>
      <c r="L348" s="47"/>
      <c r="M348" s="47"/>
      <c r="N348" s="47"/>
      <c r="O348" s="47"/>
      <c r="P348" s="47"/>
      <c r="Q348" s="47"/>
      <c r="R348" s="47"/>
      <c r="S348" s="49"/>
      <c r="T348" s="49"/>
      <c r="U348" s="47"/>
      <c r="V348" s="50"/>
      <c r="W348" s="47"/>
      <c r="X348" s="47"/>
      <c r="Y348" s="47"/>
      <c r="Z348" s="49"/>
      <c r="AA348" s="49"/>
      <c r="AB348" s="20"/>
    </row>
    <row r="349" spans="1:28" ht="15.75" customHeight="1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8"/>
      <c r="K349" s="47"/>
      <c r="L349" s="47"/>
      <c r="M349" s="47"/>
      <c r="N349" s="47"/>
      <c r="O349" s="47"/>
      <c r="P349" s="47"/>
      <c r="Q349" s="47"/>
      <c r="R349" s="47"/>
      <c r="S349" s="49"/>
      <c r="T349" s="49"/>
      <c r="U349" s="47"/>
      <c r="V349" s="50"/>
      <c r="W349" s="47"/>
      <c r="X349" s="47"/>
      <c r="Y349" s="47"/>
      <c r="Z349" s="49"/>
      <c r="AA349" s="49"/>
      <c r="AB349" s="20"/>
    </row>
    <row r="350" spans="1:28" ht="15.75" customHeight="1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8"/>
      <c r="K350" s="47"/>
      <c r="L350" s="47"/>
      <c r="M350" s="47"/>
      <c r="N350" s="47"/>
      <c r="O350" s="47"/>
      <c r="P350" s="47"/>
      <c r="Q350" s="47"/>
      <c r="R350" s="47"/>
      <c r="S350" s="49"/>
      <c r="T350" s="49"/>
      <c r="U350" s="47"/>
      <c r="V350" s="50"/>
      <c r="W350" s="47"/>
      <c r="X350" s="47"/>
      <c r="Y350" s="47"/>
      <c r="Z350" s="49"/>
      <c r="AA350" s="49"/>
      <c r="AB350" s="20"/>
    </row>
    <row r="351" spans="1:28" ht="15.75" customHeight="1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8"/>
      <c r="K351" s="47"/>
      <c r="L351" s="47"/>
      <c r="M351" s="47"/>
      <c r="N351" s="47"/>
      <c r="O351" s="47"/>
      <c r="P351" s="47"/>
      <c r="Q351" s="47"/>
      <c r="R351" s="47"/>
      <c r="S351" s="49"/>
      <c r="T351" s="49"/>
      <c r="U351" s="47"/>
      <c r="V351" s="50"/>
      <c r="W351" s="47"/>
      <c r="X351" s="47"/>
      <c r="Y351" s="47"/>
      <c r="Z351" s="49"/>
      <c r="AA351" s="49"/>
      <c r="AB351" s="20"/>
    </row>
    <row r="352" spans="1:28" ht="15.75" customHeight="1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8"/>
      <c r="K352" s="47"/>
      <c r="L352" s="47"/>
      <c r="M352" s="47"/>
      <c r="N352" s="47"/>
      <c r="O352" s="47"/>
      <c r="P352" s="47"/>
      <c r="Q352" s="47"/>
      <c r="R352" s="47"/>
      <c r="S352" s="49"/>
      <c r="T352" s="49"/>
      <c r="U352" s="47"/>
      <c r="V352" s="50"/>
      <c r="W352" s="47"/>
      <c r="X352" s="47"/>
      <c r="Y352" s="47"/>
      <c r="Z352" s="49"/>
      <c r="AA352" s="49"/>
      <c r="AB352" s="20"/>
    </row>
    <row r="353" spans="1:28" ht="15.75" customHeight="1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8"/>
      <c r="K353" s="47"/>
      <c r="L353" s="47"/>
      <c r="M353" s="47"/>
      <c r="N353" s="47"/>
      <c r="O353" s="47"/>
      <c r="P353" s="47"/>
      <c r="Q353" s="47"/>
      <c r="R353" s="47"/>
      <c r="S353" s="49"/>
      <c r="T353" s="49"/>
      <c r="U353" s="47"/>
      <c r="V353" s="50"/>
      <c r="W353" s="47"/>
      <c r="X353" s="47"/>
      <c r="Y353" s="47"/>
      <c r="Z353" s="49"/>
      <c r="AA353" s="49"/>
      <c r="AB353" s="20"/>
    </row>
    <row r="354" spans="1:28" ht="15.75" customHeight="1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8"/>
      <c r="K354" s="47"/>
      <c r="L354" s="47"/>
      <c r="M354" s="47"/>
      <c r="N354" s="47"/>
      <c r="O354" s="47"/>
      <c r="P354" s="47"/>
      <c r="Q354" s="47"/>
      <c r="R354" s="47"/>
      <c r="S354" s="49"/>
      <c r="T354" s="49"/>
      <c r="U354" s="47"/>
      <c r="V354" s="50"/>
      <c r="W354" s="47"/>
      <c r="X354" s="47"/>
      <c r="Y354" s="47"/>
      <c r="Z354" s="49"/>
      <c r="AA354" s="49"/>
      <c r="AB354" s="20"/>
    </row>
    <row r="355" spans="1:28" ht="15.75" customHeight="1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8"/>
      <c r="K355" s="47"/>
      <c r="L355" s="47"/>
      <c r="M355" s="47"/>
      <c r="N355" s="47"/>
      <c r="O355" s="47"/>
      <c r="P355" s="47"/>
      <c r="Q355" s="47"/>
      <c r="R355" s="47"/>
      <c r="S355" s="49"/>
      <c r="T355" s="49"/>
      <c r="U355" s="47"/>
      <c r="V355" s="50"/>
      <c r="W355" s="47"/>
      <c r="X355" s="47"/>
      <c r="Y355" s="47"/>
      <c r="Z355" s="49"/>
      <c r="AA355" s="49"/>
      <c r="AB355" s="20"/>
    </row>
    <row r="356" spans="1:28" ht="15.75" customHeight="1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8"/>
      <c r="K356" s="47"/>
      <c r="L356" s="47"/>
      <c r="M356" s="47"/>
      <c r="N356" s="47"/>
      <c r="O356" s="47"/>
      <c r="P356" s="47"/>
      <c r="Q356" s="47"/>
      <c r="R356" s="47"/>
      <c r="S356" s="49"/>
      <c r="T356" s="49"/>
      <c r="U356" s="47"/>
      <c r="V356" s="50"/>
      <c r="W356" s="47"/>
      <c r="X356" s="47"/>
      <c r="Y356" s="47"/>
      <c r="Z356" s="49"/>
      <c r="AA356" s="49"/>
      <c r="AB356" s="20"/>
    </row>
    <row r="357" spans="1:28" ht="15.75" customHeight="1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8"/>
      <c r="K357" s="47"/>
      <c r="L357" s="47"/>
      <c r="M357" s="47"/>
      <c r="N357" s="47"/>
      <c r="O357" s="47"/>
      <c r="P357" s="47"/>
      <c r="Q357" s="47"/>
      <c r="R357" s="47"/>
      <c r="S357" s="49"/>
      <c r="T357" s="49"/>
      <c r="U357" s="47"/>
      <c r="V357" s="50"/>
      <c r="W357" s="47"/>
      <c r="X357" s="47"/>
      <c r="Y357" s="47"/>
      <c r="Z357" s="49"/>
      <c r="AA357" s="49"/>
      <c r="AB357" s="20"/>
    </row>
    <row r="358" spans="1:28" ht="15.75" customHeight="1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8"/>
      <c r="K358" s="47"/>
      <c r="L358" s="47"/>
      <c r="M358" s="47"/>
      <c r="N358" s="47"/>
      <c r="O358" s="47"/>
      <c r="P358" s="47"/>
      <c r="Q358" s="47"/>
      <c r="R358" s="47"/>
      <c r="S358" s="49"/>
      <c r="T358" s="49"/>
      <c r="U358" s="47"/>
      <c r="V358" s="50"/>
      <c r="W358" s="47"/>
      <c r="X358" s="47"/>
      <c r="Y358" s="47"/>
      <c r="Z358" s="49"/>
      <c r="AA358" s="49"/>
      <c r="AB358" s="20"/>
    </row>
    <row r="359" spans="1:28" ht="15.75" customHeight="1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8"/>
      <c r="K359" s="47"/>
      <c r="L359" s="47"/>
      <c r="M359" s="47"/>
      <c r="N359" s="47"/>
      <c r="O359" s="47"/>
      <c r="P359" s="47"/>
      <c r="Q359" s="47"/>
      <c r="R359" s="47"/>
      <c r="S359" s="49"/>
      <c r="T359" s="49"/>
      <c r="U359" s="47"/>
      <c r="V359" s="50"/>
      <c r="W359" s="47"/>
      <c r="X359" s="47"/>
      <c r="Y359" s="47"/>
      <c r="Z359" s="49"/>
      <c r="AA359" s="49"/>
      <c r="AB359" s="20"/>
    </row>
    <row r="360" spans="1:28" ht="15.75" customHeight="1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8"/>
      <c r="K360" s="47"/>
      <c r="L360" s="47"/>
      <c r="M360" s="47"/>
      <c r="N360" s="47"/>
      <c r="O360" s="47"/>
      <c r="P360" s="47"/>
      <c r="Q360" s="47"/>
      <c r="R360" s="47"/>
      <c r="S360" s="49"/>
      <c r="T360" s="49"/>
      <c r="U360" s="47"/>
      <c r="V360" s="50"/>
      <c r="W360" s="47"/>
      <c r="X360" s="47"/>
      <c r="Y360" s="47"/>
      <c r="Z360" s="49"/>
      <c r="AA360" s="49"/>
      <c r="AB360" s="20"/>
    </row>
    <row r="361" spans="1:28" ht="15.75" customHeight="1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8"/>
      <c r="K361" s="47"/>
      <c r="L361" s="47"/>
      <c r="M361" s="47"/>
      <c r="N361" s="47"/>
      <c r="O361" s="47"/>
      <c r="P361" s="47"/>
      <c r="Q361" s="47"/>
      <c r="R361" s="47"/>
      <c r="S361" s="49"/>
      <c r="T361" s="49"/>
      <c r="U361" s="47"/>
      <c r="V361" s="50"/>
      <c r="W361" s="47"/>
      <c r="X361" s="47"/>
      <c r="Y361" s="47"/>
      <c r="Z361" s="49"/>
      <c r="AA361" s="49"/>
      <c r="AB361" s="20"/>
    </row>
    <row r="362" spans="1:28" ht="15.75" customHeight="1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8"/>
      <c r="K362" s="47"/>
      <c r="L362" s="47"/>
      <c r="M362" s="47"/>
      <c r="N362" s="47"/>
      <c r="O362" s="47"/>
      <c r="P362" s="47"/>
      <c r="Q362" s="47"/>
      <c r="R362" s="47"/>
      <c r="S362" s="49"/>
      <c r="T362" s="49"/>
      <c r="U362" s="47"/>
      <c r="V362" s="50"/>
      <c r="W362" s="47"/>
      <c r="X362" s="47"/>
      <c r="Y362" s="47"/>
      <c r="Z362" s="49"/>
      <c r="AA362" s="49"/>
      <c r="AB362" s="20"/>
    </row>
    <row r="363" spans="1:28" ht="15.75" customHeight="1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8"/>
      <c r="K363" s="47"/>
      <c r="L363" s="47"/>
      <c r="M363" s="47"/>
      <c r="N363" s="47"/>
      <c r="O363" s="47"/>
      <c r="P363" s="47"/>
      <c r="Q363" s="47"/>
      <c r="R363" s="47"/>
      <c r="S363" s="49"/>
      <c r="T363" s="49"/>
      <c r="U363" s="47"/>
      <c r="V363" s="50"/>
      <c r="W363" s="47"/>
      <c r="X363" s="47"/>
      <c r="Y363" s="47"/>
      <c r="Z363" s="49"/>
      <c r="AA363" s="49"/>
      <c r="AB363" s="20"/>
    </row>
    <row r="364" spans="1:28" ht="15.75" customHeight="1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8"/>
      <c r="K364" s="47"/>
      <c r="L364" s="47"/>
      <c r="M364" s="47"/>
      <c r="N364" s="47"/>
      <c r="O364" s="47"/>
      <c r="P364" s="47"/>
      <c r="Q364" s="47"/>
      <c r="R364" s="47"/>
      <c r="S364" s="49"/>
      <c r="T364" s="49"/>
      <c r="U364" s="47"/>
      <c r="V364" s="50"/>
      <c r="W364" s="47"/>
      <c r="X364" s="47"/>
      <c r="Y364" s="47"/>
      <c r="Z364" s="49"/>
      <c r="AA364" s="49"/>
      <c r="AB364" s="20"/>
    </row>
    <row r="365" spans="1:28" ht="15.75" customHeight="1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8"/>
      <c r="K365" s="47"/>
      <c r="L365" s="47"/>
      <c r="M365" s="47"/>
      <c r="N365" s="47"/>
      <c r="O365" s="47"/>
      <c r="P365" s="47"/>
      <c r="Q365" s="47"/>
      <c r="R365" s="47"/>
      <c r="S365" s="49"/>
      <c r="T365" s="49"/>
      <c r="U365" s="47"/>
      <c r="V365" s="50"/>
      <c r="W365" s="47"/>
      <c r="X365" s="47"/>
      <c r="Y365" s="47"/>
      <c r="Z365" s="49"/>
      <c r="AA365" s="49"/>
      <c r="AB365" s="20"/>
    </row>
    <row r="366" spans="1:28" ht="15.75" customHeight="1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8"/>
      <c r="K366" s="47"/>
      <c r="L366" s="47"/>
      <c r="M366" s="47"/>
      <c r="N366" s="47"/>
      <c r="O366" s="47"/>
      <c r="P366" s="47"/>
      <c r="Q366" s="47"/>
      <c r="R366" s="47"/>
      <c r="S366" s="49"/>
      <c r="T366" s="49"/>
      <c r="U366" s="47"/>
      <c r="V366" s="50"/>
      <c r="W366" s="47"/>
      <c r="X366" s="47"/>
      <c r="Y366" s="47"/>
      <c r="Z366" s="49"/>
      <c r="AA366" s="49"/>
      <c r="AB366" s="20"/>
    </row>
    <row r="367" spans="1:28" ht="15.75" customHeight="1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8"/>
      <c r="K367" s="47"/>
      <c r="L367" s="47"/>
      <c r="M367" s="47"/>
      <c r="N367" s="47"/>
      <c r="O367" s="47"/>
      <c r="P367" s="47"/>
      <c r="Q367" s="47"/>
      <c r="R367" s="47"/>
      <c r="S367" s="49"/>
      <c r="T367" s="49"/>
      <c r="U367" s="47"/>
      <c r="V367" s="50"/>
      <c r="W367" s="47"/>
      <c r="X367" s="47"/>
      <c r="Y367" s="47"/>
      <c r="Z367" s="49"/>
      <c r="AA367" s="49"/>
      <c r="AB367" s="20"/>
    </row>
    <row r="368" spans="1:28" ht="15.75" customHeight="1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8"/>
      <c r="K368" s="47"/>
      <c r="L368" s="47"/>
      <c r="M368" s="47"/>
      <c r="N368" s="47"/>
      <c r="O368" s="47"/>
      <c r="P368" s="47"/>
      <c r="Q368" s="47"/>
      <c r="R368" s="47"/>
      <c r="S368" s="49"/>
      <c r="T368" s="49"/>
      <c r="U368" s="47"/>
      <c r="V368" s="50"/>
      <c r="W368" s="47"/>
      <c r="X368" s="47"/>
      <c r="Y368" s="47"/>
      <c r="Z368" s="49"/>
      <c r="AA368" s="49"/>
      <c r="AB368" s="20"/>
    </row>
    <row r="369" spans="1:28" ht="15.75" customHeight="1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8"/>
      <c r="K369" s="47"/>
      <c r="L369" s="47"/>
      <c r="M369" s="47"/>
      <c r="N369" s="47"/>
      <c r="O369" s="47"/>
      <c r="P369" s="47"/>
      <c r="Q369" s="47"/>
      <c r="R369" s="47"/>
      <c r="S369" s="49"/>
      <c r="T369" s="49"/>
      <c r="U369" s="47"/>
      <c r="V369" s="50"/>
      <c r="W369" s="47"/>
      <c r="X369" s="47"/>
      <c r="Y369" s="47"/>
      <c r="Z369" s="49"/>
      <c r="AA369" s="49"/>
      <c r="AB369" s="20"/>
    </row>
    <row r="370" spans="1:28" ht="15.75" customHeight="1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8"/>
      <c r="K370" s="47"/>
      <c r="L370" s="47"/>
      <c r="M370" s="47"/>
      <c r="N370" s="47"/>
      <c r="O370" s="47"/>
      <c r="P370" s="47"/>
      <c r="Q370" s="47"/>
      <c r="R370" s="47"/>
      <c r="S370" s="49"/>
      <c r="T370" s="49"/>
      <c r="U370" s="47"/>
      <c r="V370" s="50"/>
      <c r="W370" s="47"/>
      <c r="X370" s="47"/>
      <c r="Y370" s="47"/>
      <c r="Z370" s="49"/>
      <c r="AA370" s="49"/>
      <c r="AB370" s="20"/>
    </row>
    <row r="371" spans="1:28" ht="15.75" customHeight="1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8"/>
      <c r="K371" s="47"/>
      <c r="L371" s="47"/>
      <c r="M371" s="47"/>
      <c r="N371" s="47"/>
      <c r="O371" s="47"/>
      <c r="P371" s="47"/>
      <c r="Q371" s="47"/>
      <c r="R371" s="47"/>
      <c r="S371" s="49"/>
      <c r="T371" s="49"/>
      <c r="U371" s="47"/>
      <c r="V371" s="50"/>
      <c r="W371" s="47"/>
      <c r="X371" s="47"/>
      <c r="Y371" s="47"/>
      <c r="Z371" s="49"/>
      <c r="AA371" s="49"/>
      <c r="AB371" s="20"/>
    </row>
    <row r="372" spans="1:28" ht="15.75" customHeight="1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8"/>
      <c r="K372" s="47"/>
      <c r="L372" s="47"/>
      <c r="M372" s="47"/>
      <c r="N372" s="47"/>
      <c r="O372" s="47"/>
      <c r="P372" s="47"/>
      <c r="Q372" s="47"/>
      <c r="R372" s="47"/>
      <c r="S372" s="49"/>
      <c r="T372" s="49"/>
      <c r="U372" s="47"/>
      <c r="V372" s="50"/>
      <c r="W372" s="47"/>
      <c r="X372" s="47"/>
      <c r="Y372" s="47"/>
      <c r="Z372" s="49"/>
      <c r="AA372" s="49"/>
      <c r="AB372" s="20"/>
    </row>
    <row r="373" spans="1:28" ht="15.75" customHeight="1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8"/>
      <c r="K373" s="47"/>
      <c r="L373" s="47"/>
      <c r="M373" s="47"/>
      <c r="N373" s="47"/>
      <c r="O373" s="47"/>
      <c r="P373" s="47"/>
      <c r="Q373" s="47"/>
      <c r="R373" s="47"/>
      <c r="S373" s="49"/>
      <c r="T373" s="49"/>
      <c r="U373" s="47"/>
      <c r="V373" s="50"/>
      <c r="W373" s="47"/>
      <c r="X373" s="47"/>
      <c r="Y373" s="47"/>
      <c r="Z373" s="49"/>
      <c r="AA373" s="49"/>
      <c r="AB373" s="20"/>
    </row>
    <row r="374" spans="1:28" ht="15.75" customHeight="1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8"/>
      <c r="K374" s="47"/>
      <c r="L374" s="47"/>
      <c r="M374" s="47"/>
      <c r="N374" s="47"/>
      <c r="O374" s="47"/>
      <c r="P374" s="47"/>
      <c r="Q374" s="47"/>
      <c r="R374" s="47"/>
      <c r="S374" s="49"/>
      <c r="T374" s="49"/>
      <c r="U374" s="47"/>
      <c r="V374" s="50"/>
      <c r="W374" s="47"/>
      <c r="X374" s="47"/>
      <c r="Y374" s="47"/>
      <c r="Z374" s="49"/>
      <c r="AA374" s="49"/>
      <c r="AB374" s="20"/>
    </row>
    <row r="375" spans="1:28" ht="15.75" customHeight="1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8"/>
      <c r="K375" s="47"/>
      <c r="L375" s="47"/>
      <c r="M375" s="47"/>
      <c r="N375" s="47"/>
      <c r="O375" s="47"/>
      <c r="P375" s="47"/>
      <c r="Q375" s="47"/>
      <c r="R375" s="47"/>
      <c r="S375" s="49"/>
      <c r="T375" s="49"/>
      <c r="U375" s="47"/>
      <c r="V375" s="50"/>
      <c r="W375" s="47"/>
      <c r="X375" s="47"/>
      <c r="Y375" s="47"/>
      <c r="Z375" s="49"/>
      <c r="AA375" s="49"/>
      <c r="AB375" s="20"/>
    </row>
    <row r="376" spans="1:28" ht="15.75" customHeight="1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8"/>
      <c r="K376" s="47"/>
      <c r="L376" s="47"/>
      <c r="M376" s="47"/>
      <c r="N376" s="47"/>
      <c r="O376" s="47"/>
      <c r="P376" s="47"/>
      <c r="Q376" s="47"/>
      <c r="R376" s="47"/>
      <c r="S376" s="49"/>
      <c r="T376" s="49"/>
      <c r="U376" s="47"/>
      <c r="V376" s="50"/>
      <c r="W376" s="47"/>
      <c r="X376" s="47"/>
      <c r="Y376" s="47"/>
      <c r="Z376" s="49"/>
      <c r="AA376" s="49"/>
      <c r="AB376" s="20"/>
    </row>
    <row r="377" spans="1:28" ht="15.75" customHeight="1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8"/>
      <c r="K377" s="47"/>
      <c r="L377" s="47"/>
      <c r="M377" s="47"/>
      <c r="N377" s="47"/>
      <c r="O377" s="47"/>
      <c r="P377" s="47"/>
      <c r="Q377" s="47"/>
      <c r="R377" s="47"/>
      <c r="S377" s="49"/>
      <c r="T377" s="49"/>
      <c r="U377" s="47"/>
      <c r="V377" s="50"/>
      <c r="W377" s="47"/>
      <c r="X377" s="47"/>
      <c r="Y377" s="47"/>
      <c r="Z377" s="49"/>
      <c r="AA377" s="49"/>
      <c r="AB377" s="20"/>
    </row>
    <row r="378" spans="1:28" ht="15.75" customHeight="1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8"/>
      <c r="K378" s="47"/>
      <c r="L378" s="47"/>
      <c r="M378" s="47"/>
      <c r="N378" s="47"/>
      <c r="O378" s="47"/>
      <c r="P378" s="47"/>
      <c r="Q378" s="47"/>
      <c r="R378" s="47"/>
      <c r="S378" s="49"/>
      <c r="T378" s="49"/>
      <c r="U378" s="47"/>
      <c r="V378" s="50"/>
      <c r="W378" s="47"/>
      <c r="X378" s="47"/>
      <c r="Y378" s="47"/>
      <c r="Z378" s="49"/>
      <c r="AA378" s="49"/>
      <c r="AB378" s="20"/>
    </row>
    <row r="379" spans="1:28" ht="15.75" customHeight="1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8"/>
      <c r="K379" s="47"/>
      <c r="L379" s="47"/>
      <c r="M379" s="47"/>
      <c r="N379" s="47"/>
      <c r="O379" s="47"/>
      <c r="P379" s="47"/>
      <c r="Q379" s="47"/>
      <c r="R379" s="47"/>
      <c r="S379" s="49"/>
      <c r="T379" s="49"/>
      <c r="U379" s="47"/>
      <c r="V379" s="50"/>
      <c r="W379" s="47"/>
      <c r="X379" s="47"/>
      <c r="Y379" s="47"/>
      <c r="Z379" s="49"/>
      <c r="AA379" s="49"/>
      <c r="AB379" s="20"/>
    </row>
    <row r="380" spans="1:28" ht="15.75" customHeight="1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8"/>
      <c r="K380" s="47"/>
      <c r="L380" s="47"/>
      <c r="M380" s="47"/>
      <c r="N380" s="47"/>
      <c r="O380" s="47"/>
      <c r="P380" s="47"/>
      <c r="Q380" s="47"/>
      <c r="R380" s="47"/>
      <c r="S380" s="49"/>
      <c r="T380" s="49"/>
      <c r="U380" s="47"/>
      <c r="V380" s="50"/>
      <c r="W380" s="47"/>
      <c r="X380" s="47"/>
      <c r="Y380" s="47"/>
      <c r="Z380" s="49"/>
      <c r="AA380" s="49"/>
      <c r="AB380" s="20"/>
    </row>
    <row r="381" spans="1:28" ht="15.75" customHeight="1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8"/>
      <c r="K381" s="47"/>
      <c r="L381" s="47"/>
      <c r="M381" s="47"/>
      <c r="N381" s="47"/>
      <c r="O381" s="47"/>
      <c r="P381" s="47"/>
      <c r="Q381" s="47"/>
      <c r="R381" s="47"/>
      <c r="S381" s="49"/>
      <c r="T381" s="49"/>
      <c r="U381" s="47"/>
      <c r="V381" s="50"/>
      <c r="W381" s="47"/>
      <c r="X381" s="47"/>
      <c r="Y381" s="47"/>
      <c r="Z381" s="49"/>
      <c r="AA381" s="49"/>
      <c r="AB381" s="20"/>
    </row>
    <row r="382" spans="1:28" ht="15.75" customHeight="1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8"/>
      <c r="K382" s="47"/>
      <c r="L382" s="47"/>
      <c r="M382" s="47"/>
      <c r="N382" s="47"/>
      <c r="O382" s="47"/>
      <c r="P382" s="47"/>
      <c r="Q382" s="47"/>
      <c r="R382" s="47"/>
      <c r="S382" s="49"/>
      <c r="T382" s="49"/>
      <c r="U382" s="47"/>
      <c r="V382" s="50"/>
      <c r="W382" s="47"/>
      <c r="X382" s="47"/>
      <c r="Y382" s="47"/>
      <c r="Z382" s="49"/>
      <c r="AA382" s="49"/>
      <c r="AB382" s="20"/>
    </row>
    <row r="383" spans="1:28" ht="15.75" customHeight="1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8"/>
      <c r="K383" s="47"/>
      <c r="L383" s="47"/>
      <c r="M383" s="47"/>
      <c r="N383" s="47"/>
      <c r="O383" s="47"/>
      <c r="P383" s="47"/>
      <c r="Q383" s="47"/>
      <c r="R383" s="47"/>
      <c r="S383" s="49"/>
      <c r="T383" s="49"/>
      <c r="U383" s="47"/>
      <c r="V383" s="50"/>
      <c r="W383" s="47"/>
      <c r="X383" s="47"/>
      <c r="Y383" s="47"/>
      <c r="Z383" s="49"/>
      <c r="AA383" s="49"/>
      <c r="AB383" s="20"/>
    </row>
    <row r="384" spans="1:28" ht="15.75" customHeight="1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8"/>
      <c r="K384" s="47"/>
      <c r="L384" s="47"/>
      <c r="M384" s="47"/>
      <c r="N384" s="47"/>
      <c r="O384" s="47"/>
      <c r="P384" s="47"/>
      <c r="Q384" s="47"/>
      <c r="R384" s="47"/>
      <c r="S384" s="49"/>
      <c r="T384" s="49"/>
      <c r="U384" s="47"/>
      <c r="V384" s="50"/>
      <c r="W384" s="47"/>
      <c r="X384" s="47"/>
      <c r="Y384" s="47"/>
      <c r="Z384" s="49"/>
      <c r="AA384" s="49"/>
      <c r="AB384" s="20"/>
    </row>
    <row r="385" spans="1:28" ht="15.75" customHeight="1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8"/>
      <c r="K385" s="47"/>
      <c r="L385" s="47"/>
      <c r="M385" s="47"/>
      <c r="N385" s="47"/>
      <c r="O385" s="47"/>
      <c r="P385" s="47"/>
      <c r="Q385" s="47"/>
      <c r="R385" s="47"/>
      <c r="S385" s="49"/>
      <c r="T385" s="49"/>
      <c r="U385" s="47"/>
      <c r="V385" s="50"/>
      <c r="W385" s="47"/>
      <c r="X385" s="47"/>
      <c r="Y385" s="47"/>
      <c r="Z385" s="49"/>
      <c r="AA385" s="49"/>
      <c r="AB385" s="20"/>
    </row>
    <row r="386" spans="1:28" ht="15.75" customHeight="1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8"/>
      <c r="K386" s="47"/>
      <c r="L386" s="47"/>
      <c r="M386" s="47"/>
      <c r="N386" s="47"/>
      <c r="O386" s="47"/>
      <c r="P386" s="47"/>
      <c r="Q386" s="47"/>
      <c r="R386" s="47"/>
      <c r="S386" s="49"/>
      <c r="T386" s="49"/>
      <c r="U386" s="47"/>
      <c r="V386" s="50"/>
      <c r="W386" s="47"/>
      <c r="X386" s="47"/>
      <c r="Y386" s="47"/>
      <c r="Z386" s="49"/>
      <c r="AA386" s="49"/>
      <c r="AB386" s="20"/>
    </row>
    <row r="387" spans="1:28" ht="15.75" customHeight="1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8"/>
      <c r="K387" s="47"/>
      <c r="L387" s="47"/>
      <c r="M387" s="47"/>
      <c r="N387" s="47"/>
      <c r="O387" s="47"/>
      <c r="P387" s="47"/>
      <c r="Q387" s="47"/>
      <c r="R387" s="47"/>
      <c r="S387" s="49"/>
      <c r="T387" s="49"/>
      <c r="U387" s="47"/>
      <c r="V387" s="50"/>
      <c r="W387" s="47"/>
      <c r="X387" s="47"/>
      <c r="Y387" s="47"/>
      <c r="Z387" s="49"/>
      <c r="AA387" s="49"/>
      <c r="AB387" s="20"/>
    </row>
    <row r="388" spans="1:28" ht="15.75" customHeight="1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8"/>
      <c r="K388" s="47"/>
      <c r="L388" s="47"/>
      <c r="M388" s="47"/>
      <c r="N388" s="47"/>
      <c r="O388" s="47"/>
      <c r="P388" s="47"/>
      <c r="Q388" s="47"/>
      <c r="R388" s="47"/>
      <c r="S388" s="49"/>
      <c r="T388" s="49"/>
      <c r="U388" s="47"/>
      <c r="V388" s="50"/>
      <c r="W388" s="47"/>
      <c r="X388" s="47"/>
      <c r="Y388" s="47"/>
      <c r="Z388" s="49"/>
      <c r="AA388" s="49"/>
      <c r="AB388" s="20"/>
    </row>
    <row r="389" spans="1:28" ht="15.75" customHeight="1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8"/>
      <c r="K389" s="47"/>
      <c r="L389" s="47"/>
      <c r="M389" s="47"/>
      <c r="N389" s="47"/>
      <c r="O389" s="47"/>
      <c r="P389" s="47"/>
      <c r="Q389" s="47"/>
      <c r="R389" s="47"/>
      <c r="S389" s="49"/>
      <c r="T389" s="49"/>
      <c r="U389" s="47"/>
      <c r="V389" s="50"/>
      <c r="W389" s="47"/>
      <c r="X389" s="47"/>
      <c r="Y389" s="47"/>
      <c r="Z389" s="49"/>
      <c r="AA389" s="49"/>
      <c r="AB389" s="20"/>
    </row>
    <row r="390" spans="1:28" ht="15.75" customHeight="1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8"/>
      <c r="K390" s="47"/>
      <c r="L390" s="47"/>
      <c r="M390" s="47"/>
      <c r="N390" s="47"/>
      <c r="O390" s="47"/>
      <c r="P390" s="47"/>
      <c r="Q390" s="47"/>
      <c r="R390" s="47"/>
      <c r="S390" s="49"/>
      <c r="T390" s="49"/>
      <c r="U390" s="47"/>
      <c r="V390" s="50"/>
      <c r="W390" s="47"/>
      <c r="X390" s="47"/>
      <c r="Y390" s="47"/>
      <c r="Z390" s="49"/>
      <c r="AA390" s="49"/>
      <c r="AB390" s="20"/>
    </row>
    <row r="391" spans="1:28" ht="15.75" customHeight="1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8"/>
      <c r="K391" s="47"/>
      <c r="L391" s="47"/>
      <c r="M391" s="47"/>
      <c r="N391" s="47"/>
      <c r="O391" s="47"/>
      <c r="P391" s="47"/>
      <c r="Q391" s="47"/>
      <c r="R391" s="47"/>
      <c r="S391" s="49"/>
      <c r="T391" s="49"/>
      <c r="U391" s="47"/>
      <c r="V391" s="50"/>
      <c r="W391" s="47"/>
      <c r="X391" s="47"/>
      <c r="Y391" s="47"/>
      <c r="Z391" s="49"/>
      <c r="AA391" s="49"/>
      <c r="AB391" s="20"/>
    </row>
    <row r="392" spans="1:28" ht="15.75" customHeight="1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8"/>
      <c r="K392" s="47"/>
      <c r="L392" s="47"/>
      <c r="M392" s="47"/>
      <c r="N392" s="47"/>
      <c r="O392" s="47"/>
      <c r="P392" s="47"/>
      <c r="Q392" s="47"/>
      <c r="R392" s="47"/>
      <c r="S392" s="49"/>
      <c r="T392" s="49"/>
      <c r="U392" s="47"/>
      <c r="V392" s="50"/>
      <c r="W392" s="47"/>
      <c r="X392" s="47"/>
      <c r="Y392" s="47"/>
      <c r="Z392" s="49"/>
      <c r="AA392" s="49"/>
      <c r="AB392" s="20"/>
    </row>
    <row r="393" spans="1:28" ht="15.75" customHeight="1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8"/>
      <c r="K393" s="47"/>
      <c r="L393" s="47"/>
      <c r="M393" s="47"/>
      <c r="N393" s="47"/>
      <c r="O393" s="47"/>
      <c r="P393" s="47"/>
      <c r="Q393" s="47"/>
      <c r="R393" s="47"/>
      <c r="S393" s="49"/>
      <c r="T393" s="49"/>
      <c r="U393" s="47"/>
      <c r="V393" s="50"/>
      <c r="W393" s="47"/>
      <c r="X393" s="47"/>
      <c r="Y393" s="47"/>
      <c r="Z393" s="49"/>
      <c r="AA393" s="49"/>
      <c r="AB393" s="20"/>
    </row>
    <row r="394" spans="1:28" ht="15.75" customHeight="1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8"/>
      <c r="K394" s="47"/>
      <c r="L394" s="47"/>
      <c r="M394" s="47"/>
      <c r="N394" s="47"/>
      <c r="O394" s="47"/>
      <c r="P394" s="47"/>
      <c r="Q394" s="47"/>
      <c r="R394" s="47"/>
      <c r="S394" s="49"/>
      <c r="T394" s="49"/>
      <c r="U394" s="47"/>
      <c r="V394" s="50"/>
      <c r="W394" s="47"/>
      <c r="X394" s="47"/>
      <c r="Y394" s="47"/>
      <c r="Z394" s="49"/>
      <c r="AA394" s="49"/>
      <c r="AB394" s="20"/>
    </row>
    <row r="395" spans="1:28" ht="15.75" customHeight="1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8"/>
      <c r="K395" s="47"/>
      <c r="L395" s="47"/>
      <c r="M395" s="47"/>
      <c r="N395" s="47"/>
      <c r="O395" s="47"/>
      <c r="P395" s="47"/>
      <c r="Q395" s="47"/>
      <c r="R395" s="47"/>
      <c r="S395" s="49"/>
      <c r="T395" s="49"/>
      <c r="U395" s="47"/>
      <c r="V395" s="50"/>
      <c r="W395" s="47"/>
      <c r="X395" s="47"/>
      <c r="Y395" s="47"/>
      <c r="Z395" s="49"/>
      <c r="AA395" s="49"/>
      <c r="AB395" s="20"/>
    </row>
    <row r="396" spans="1:28" ht="15.75" customHeight="1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8"/>
      <c r="K396" s="47"/>
      <c r="L396" s="47"/>
      <c r="M396" s="47"/>
      <c r="N396" s="47"/>
      <c r="O396" s="47"/>
      <c r="P396" s="47"/>
      <c r="Q396" s="47"/>
      <c r="R396" s="47"/>
      <c r="S396" s="49"/>
      <c r="T396" s="49"/>
      <c r="U396" s="47"/>
      <c r="V396" s="50"/>
      <c r="W396" s="47"/>
      <c r="X396" s="47"/>
      <c r="Y396" s="47"/>
      <c r="Z396" s="49"/>
      <c r="AA396" s="49"/>
      <c r="AB396" s="20"/>
    </row>
    <row r="397" spans="1:28" ht="15.75" customHeight="1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8"/>
      <c r="K397" s="47"/>
      <c r="L397" s="47"/>
      <c r="M397" s="47"/>
      <c r="N397" s="47"/>
      <c r="O397" s="47"/>
      <c r="P397" s="47"/>
      <c r="Q397" s="47"/>
      <c r="R397" s="47"/>
      <c r="S397" s="49"/>
      <c r="T397" s="49"/>
      <c r="U397" s="47"/>
      <c r="V397" s="50"/>
      <c r="W397" s="47"/>
      <c r="X397" s="47"/>
      <c r="Y397" s="47"/>
      <c r="Z397" s="49"/>
      <c r="AA397" s="49"/>
      <c r="AB397" s="20"/>
    </row>
    <row r="398" spans="1:28" ht="15.75" customHeight="1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8"/>
      <c r="K398" s="47"/>
      <c r="L398" s="47"/>
      <c r="M398" s="47"/>
      <c r="N398" s="47"/>
      <c r="O398" s="47"/>
      <c r="P398" s="47"/>
      <c r="Q398" s="47"/>
      <c r="R398" s="47"/>
      <c r="S398" s="49"/>
      <c r="T398" s="49"/>
      <c r="U398" s="47"/>
      <c r="V398" s="50"/>
      <c r="W398" s="47"/>
      <c r="X398" s="47"/>
      <c r="Y398" s="47"/>
      <c r="Z398" s="49"/>
      <c r="AA398" s="49"/>
      <c r="AB398" s="20"/>
    </row>
    <row r="399" spans="1:28" ht="15.75" customHeight="1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8"/>
      <c r="K399" s="47"/>
      <c r="L399" s="47"/>
      <c r="M399" s="47"/>
      <c r="N399" s="47"/>
      <c r="O399" s="47"/>
      <c r="P399" s="47"/>
      <c r="Q399" s="47"/>
      <c r="R399" s="47"/>
      <c r="S399" s="49"/>
      <c r="T399" s="49"/>
      <c r="U399" s="47"/>
      <c r="V399" s="50"/>
      <c r="W399" s="47"/>
      <c r="X399" s="47"/>
      <c r="Y399" s="47"/>
      <c r="Z399" s="49"/>
      <c r="AA399" s="49"/>
      <c r="AB399" s="20"/>
    </row>
    <row r="400" spans="1:28" ht="15.75" customHeight="1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8"/>
      <c r="K400" s="47"/>
      <c r="L400" s="47"/>
      <c r="M400" s="47"/>
      <c r="N400" s="47"/>
      <c r="O400" s="47"/>
      <c r="P400" s="47"/>
      <c r="Q400" s="47"/>
      <c r="R400" s="47"/>
      <c r="S400" s="49"/>
      <c r="T400" s="49"/>
      <c r="U400" s="47"/>
      <c r="V400" s="50"/>
      <c r="W400" s="47"/>
      <c r="X400" s="47"/>
      <c r="Y400" s="47"/>
      <c r="Z400" s="49"/>
      <c r="AA400" s="49"/>
      <c r="AB400" s="20"/>
    </row>
    <row r="401" spans="1:28" ht="15.75" customHeight="1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8"/>
      <c r="K401" s="47"/>
      <c r="L401" s="47"/>
      <c r="M401" s="47"/>
      <c r="N401" s="47"/>
      <c r="O401" s="47"/>
      <c r="P401" s="47"/>
      <c r="Q401" s="47"/>
      <c r="R401" s="47"/>
      <c r="S401" s="49"/>
      <c r="T401" s="49"/>
      <c r="U401" s="47"/>
      <c r="V401" s="50"/>
      <c r="W401" s="47"/>
      <c r="X401" s="47"/>
      <c r="Y401" s="47"/>
      <c r="Z401" s="49"/>
      <c r="AA401" s="49"/>
      <c r="AB401" s="20"/>
    </row>
    <row r="402" spans="1:28" ht="15.75" customHeight="1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8"/>
      <c r="K402" s="47"/>
      <c r="L402" s="47"/>
      <c r="M402" s="47"/>
      <c r="N402" s="47"/>
      <c r="O402" s="47"/>
      <c r="P402" s="47"/>
      <c r="Q402" s="47"/>
      <c r="R402" s="47"/>
      <c r="S402" s="49"/>
      <c r="T402" s="49"/>
      <c r="U402" s="47"/>
      <c r="V402" s="50"/>
      <c r="W402" s="47"/>
      <c r="X402" s="47"/>
      <c r="Y402" s="47"/>
      <c r="Z402" s="49"/>
      <c r="AA402" s="49"/>
      <c r="AB402" s="20"/>
    </row>
    <row r="403" spans="1:28" ht="15.75" customHeight="1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8"/>
      <c r="K403" s="47"/>
      <c r="L403" s="47"/>
      <c r="M403" s="47"/>
      <c r="N403" s="47"/>
      <c r="O403" s="47"/>
      <c r="P403" s="47"/>
      <c r="Q403" s="47"/>
      <c r="R403" s="47"/>
      <c r="S403" s="49"/>
      <c r="T403" s="49"/>
      <c r="U403" s="47"/>
      <c r="V403" s="50"/>
      <c r="W403" s="47"/>
      <c r="X403" s="47"/>
      <c r="Y403" s="47"/>
      <c r="Z403" s="49"/>
      <c r="AA403" s="49"/>
      <c r="AB403" s="20"/>
    </row>
    <row r="404" spans="1:28" ht="15.75" customHeight="1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8"/>
      <c r="K404" s="47"/>
      <c r="L404" s="47"/>
      <c r="M404" s="47"/>
      <c r="N404" s="47"/>
      <c r="O404" s="47"/>
      <c r="P404" s="47"/>
      <c r="Q404" s="47"/>
      <c r="R404" s="47"/>
      <c r="S404" s="49"/>
      <c r="T404" s="49"/>
      <c r="U404" s="47"/>
      <c r="V404" s="50"/>
      <c r="W404" s="47"/>
      <c r="X404" s="47"/>
      <c r="Y404" s="47"/>
      <c r="Z404" s="49"/>
      <c r="AA404" s="49"/>
      <c r="AB404" s="20"/>
    </row>
    <row r="405" spans="1:28" ht="15.75" customHeight="1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8"/>
      <c r="K405" s="47"/>
      <c r="L405" s="47"/>
      <c r="M405" s="47"/>
      <c r="N405" s="47"/>
      <c r="O405" s="47"/>
      <c r="P405" s="47"/>
      <c r="Q405" s="47"/>
      <c r="R405" s="47"/>
      <c r="S405" s="49"/>
      <c r="T405" s="49"/>
      <c r="U405" s="47"/>
      <c r="V405" s="50"/>
      <c r="W405" s="47"/>
      <c r="X405" s="47"/>
      <c r="Y405" s="47"/>
      <c r="Z405" s="49"/>
      <c r="AA405" s="49"/>
      <c r="AB405" s="20"/>
    </row>
    <row r="406" spans="1:28" ht="15.75" customHeight="1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8"/>
      <c r="K406" s="47"/>
      <c r="L406" s="47"/>
      <c r="M406" s="47"/>
      <c r="N406" s="47"/>
      <c r="O406" s="47"/>
      <c r="P406" s="47"/>
      <c r="Q406" s="47"/>
      <c r="R406" s="47"/>
      <c r="S406" s="49"/>
      <c r="T406" s="49"/>
      <c r="U406" s="47"/>
      <c r="V406" s="50"/>
      <c r="W406" s="47"/>
      <c r="X406" s="47"/>
      <c r="Y406" s="47"/>
      <c r="Z406" s="49"/>
      <c r="AA406" s="49"/>
      <c r="AB406" s="20"/>
    </row>
    <row r="407" spans="1:28" ht="15.75" customHeight="1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8"/>
      <c r="K407" s="47"/>
      <c r="L407" s="47"/>
      <c r="M407" s="47"/>
      <c r="N407" s="47"/>
      <c r="O407" s="47"/>
      <c r="P407" s="47"/>
      <c r="Q407" s="47"/>
      <c r="R407" s="47"/>
      <c r="S407" s="49"/>
      <c r="T407" s="49"/>
      <c r="U407" s="47"/>
      <c r="V407" s="50"/>
      <c r="W407" s="47"/>
      <c r="X407" s="47"/>
      <c r="Y407" s="47"/>
      <c r="Z407" s="49"/>
      <c r="AA407" s="49"/>
      <c r="AB407" s="20"/>
    </row>
    <row r="408" spans="1:28" ht="15.75" customHeight="1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8"/>
      <c r="K408" s="47"/>
      <c r="L408" s="47"/>
      <c r="M408" s="47"/>
      <c r="N408" s="47"/>
      <c r="O408" s="47"/>
      <c r="P408" s="47"/>
      <c r="Q408" s="47"/>
      <c r="R408" s="47"/>
      <c r="S408" s="49"/>
      <c r="T408" s="49"/>
      <c r="U408" s="47"/>
      <c r="V408" s="50"/>
      <c r="W408" s="47"/>
      <c r="X408" s="47"/>
      <c r="Y408" s="47"/>
      <c r="Z408" s="49"/>
      <c r="AA408" s="49"/>
      <c r="AB408" s="20"/>
    </row>
    <row r="409" spans="1:28" ht="15.75" customHeight="1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8"/>
      <c r="K409" s="47"/>
      <c r="L409" s="47"/>
      <c r="M409" s="47"/>
      <c r="N409" s="47"/>
      <c r="O409" s="47"/>
      <c r="P409" s="47"/>
      <c r="Q409" s="47"/>
      <c r="R409" s="47"/>
      <c r="S409" s="49"/>
      <c r="T409" s="49"/>
      <c r="U409" s="47"/>
      <c r="V409" s="50"/>
      <c r="W409" s="47"/>
      <c r="X409" s="47"/>
      <c r="Y409" s="47"/>
      <c r="Z409" s="49"/>
      <c r="AA409" s="49"/>
      <c r="AB409" s="20"/>
    </row>
    <row r="410" spans="1:28" ht="15.75" customHeight="1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8"/>
      <c r="K410" s="47"/>
      <c r="L410" s="47"/>
      <c r="M410" s="47"/>
      <c r="N410" s="47"/>
      <c r="O410" s="47"/>
      <c r="P410" s="47"/>
      <c r="Q410" s="47"/>
      <c r="R410" s="47"/>
      <c r="S410" s="49"/>
      <c r="T410" s="49"/>
      <c r="U410" s="47"/>
      <c r="V410" s="50"/>
      <c r="W410" s="47"/>
      <c r="X410" s="47"/>
      <c r="Y410" s="47"/>
      <c r="Z410" s="49"/>
      <c r="AA410" s="49"/>
      <c r="AB410" s="20"/>
    </row>
    <row r="411" spans="1:28" ht="15.75" customHeight="1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8"/>
      <c r="K411" s="47"/>
      <c r="L411" s="47"/>
      <c r="M411" s="47"/>
      <c r="N411" s="47"/>
      <c r="O411" s="47"/>
      <c r="P411" s="47"/>
      <c r="Q411" s="47"/>
      <c r="R411" s="47"/>
      <c r="S411" s="49"/>
      <c r="T411" s="49"/>
      <c r="U411" s="47"/>
      <c r="V411" s="50"/>
      <c r="W411" s="47"/>
      <c r="X411" s="47"/>
      <c r="Y411" s="47"/>
      <c r="Z411" s="49"/>
      <c r="AA411" s="49"/>
      <c r="AB411" s="20"/>
    </row>
    <row r="412" spans="1:28" ht="15.75" customHeight="1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8"/>
      <c r="K412" s="47"/>
      <c r="L412" s="47"/>
      <c r="M412" s="47"/>
      <c r="N412" s="47"/>
      <c r="O412" s="47"/>
      <c r="P412" s="47"/>
      <c r="Q412" s="47"/>
      <c r="R412" s="47"/>
      <c r="S412" s="49"/>
      <c r="T412" s="49"/>
      <c r="U412" s="47"/>
      <c r="V412" s="50"/>
      <c r="W412" s="47"/>
      <c r="X412" s="47"/>
      <c r="Y412" s="47"/>
      <c r="Z412" s="49"/>
      <c r="AA412" s="49"/>
      <c r="AB412" s="20"/>
    </row>
    <row r="413" spans="1:28" ht="15.75" customHeight="1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8"/>
      <c r="K413" s="47"/>
      <c r="L413" s="47"/>
      <c r="M413" s="47"/>
      <c r="N413" s="47"/>
      <c r="O413" s="47"/>
      <c r="P413" s="47"/>
      <c r="Q413" s="47"/>
      <c r="R413" s="47"/>
      <c r="S413" s="49"/>
      <c r="T413" s="49"/>
      <c r="U413" s="47"/>
      <c r="V413" s="50"/>
      <c r="W413" s="47"/>
      <c r="X413" s="47"/>
      <c r="Y413" s="47"/>
      <c r="Z413" s="49"/>
      <c r="AA413" s="49"/>
      <c r="AB413" s="20"/>
    </row>
    <row r="414" spans="1:28" ht="15.75" customHeight="1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8"/>
      <c r="K414" s="47"/>
      <c r="L414" s="47"/>
      <c r="M414" s="47"/>
      <c r="N414" s="47"/>
      <c r="O414" s="47"/>
      <c r="P414" s="47"/>
      <c r="Q414" s="47"/>
      <c r="R414" s="47"/>
      <c r="S414" s="49"/>
      <c r="T414" s="49"/>
      <c r="U414" s="47"/>
      <c r="V414" s="50"/>
      <c r="W414" s="47"/>
      <c r="X414" s="47"/>
      <c r="Y414" s="47"/>
      <c r="Z414" s="49"/>
      <c r="AA414" s="49"/>
      <c r="AB414" s="20"/>
    </row>
    <row r="415" spans="1:28" ht="15.75" customHeight="1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8"/>
      <c r="K415" s="47"/>
      <c r="L415" s="47"/>
      <c r="M415" s="47"/>
      <c r="N415" s="47"/>
      <c r="O415" s="47"/>
      <c r="P415" s="47"/>
      <c r="Q415" s="47"/>
      <c r="R415" s="47"/>
      <c r="S415" s="49"/>
      <c r="T415" s="49"/>
      <c r="U415" s="47"/>
      <c r="V415" s="50"/>
      <c r="W415" s="47"/>
      <c r="X415" s="47"/>
      <c r="Y415" s="47"/>
      <c r="Z415" s="49"/>
      <c r="AA415" s="49"/>
      <c r="AB415" s="20"/>
    </row>
    <row r="416" spans="1:28" ht="15.75" customHeight="1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8"/>
      <c r="K416" s="47"/>
      <c r="L416" s="47"/>
      <c r="M416" s="47"/>
      <c r="N416" s="47"/>
      <c r="O416" s="47"/>
      <c r="P416" s="47"/>
      <c r="Q416" s="47"/>
      <c r="R416" s="47"/>
      <c r="S416" s="49"/>
      <c r="T416" s="49"/>
      <c r="U416" s="47"/>
      <c r="V416" s="50"/>
      <c r="W416" s="47"/>
      <c r="X416" s="47"/>
      <c r="Y416" s="47"/>
      <c r="Z416" s="49"/>
      <c r="AA416" s="49"/>
      <c r="AB416" s="20"/>
    </row>
    <row r="417" spans="1:28" ht="15.75" customHeight="1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8"/>
      <c r="K417" s="47"/>
      <c r="L417" s="47"/>
      <c r="M417" s="47"/>
      <c r="N417" s="47"/>
      <c r="O417" s="47"/>
      <c r="P417" s="47"/>
      <c r="Q417" s="47"/>
      <c r="R417" s="47"/>
      <c r="S417" s="49"/>
      <c r="T417" s="49"/>
      <c r="U417" s="47"/>
      <c r="V417" s="50"/>
      <c r="W417" s="47"/>
      <c r="X417" s="47"/>
      <c r="Y417" s="47"/>
      <c r="Z417" s="49"/>
      <c r="AA417" s="49"/>
      <c r="AB417" s="20"/>
    </row>
    <row r="418" spans="1:28" ht="15.75" customHeight="1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8"/>
      <c r="K418" s="47"/>
      <c r="L418" s="47"/>
      <c r="M418" s="47"/>
      <c r="N418" s="47"/>
      <c r="O418" s="47"/>
      <c r="P418" s="47"/>
      <c r="Q418" s="47"/>
      <c r="R418" s="47"/>
      <c r="S418" s="49"/>
      <c r="T418" s="49"/>
      <c r="U418" s="47"/>
      <c r="V418" s="50"/>
      <c r="W418" s="47"/>
      <c r="X418" s="47"/>
      <c r="Y418" s="47"/>
      <c r="Z418" s="49"/>
      <c r="AA418" s="49"/>
      <c r="AB418" s="20"/>
    </row>
    <row r="419" spans="1:28" ht="15.75" customHeight="1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8"/>
      <c r="K419" s="47"/>
      <c r="L419" s="47"/>
      <c r="M419" s="47"/>
      <c r="N419" s="47"/>
      <c r="O419" s="47"/>
      <c r="P419" s="47"/>
      <c r="Q419" s="47"/>
      <c r="R419" s="47"/>
      <c r="S419" s="49"/>
      <c r="T419" s="49"/>
      <c r="U419" s="47"/>
      <c r="V419" s="50"/>
      <c r="W419" s="47"/>
      <c r="X419" s="47"/>
      <c r="Y419" s="47"/>
      <c r="Z419" s="49"/>
      <c r="AA419" s="49"/>
      <c r="AB419" s="20"/>
    </row>
    <row r="420" spans="1:28" ht="15.75" customHeight="1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8"/>
      <c r="K420" s="47"/>
      <c r="L420" s="47"/>
      <c r="M420" s="47"/>
      <c r="N420" s="47"/>
      <c r="O420" s="47"/>
      <c r="P420" s="47"/>
      <c r="Q420" s="47"/>
      <c r="R420" s="47"/>
      <c r="S420" s="49"/>
      <c r="T420" s="49"/>
      <c r="U420" s="47"/>
      <c r="V420" s="50"/>
      <c r="W420" s="47"/>
      <c r="X420" s="47"/>
      <c r="Y420" s="47"/>
      <c r="Z420" s="49"/>
      <c r="AA420" s="49"/>
      <c r="AB420" s="20"/>
    </row>
    <row r="421" spans="1:28" ht="15.75" customHeight="1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8"/>
      <c r="K421" s="47"/>
      <c r="L421" s="47"/>
      <c r="M421" s="47"/>
      <c r="N421" s="47"/>
      <c r="O421" s="47"/>
      <c r="P421" s="47"/>
      <c r="Q421" s="47"/>
      <c r="R421" s="47"/>
      <c r="S421" s="49"/>
      <c r="T421" s="49"/>
      <c r="U421" s="47"/>
      <c r="V421" s="50"/>
      <c r="W421" s="47"/>
      <c r="X421" s="47"/>
      <c r="Y421" s="47"/>
      <c r="Z421" s="49"/>
      <c r="AA421" s="49"/>
      <c r="AB421" s="20"/>
    </row>
    <row r="422" spans="1:28" ht="15.75" customHeight="1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8"/>
      <c r="K422" s="47"/>
      <c r="L422" s="47"/>
      <c r="M422" s="47"/>
      <c r="N422" s="47"/>
      <c r="O422" s="47"/>
      <c r="P422" s="47"/>
      <c r="Q422" s="47"/>
      <c r="R422" s="47"/>
      <c r="S422" s="49"/>
      <c r="T422" s="49"/>
      <c r="U422" s="47"/>
      <c r="V422" s="50"/>
      <c r="W422" s="47"/>
      <c r="X422" s="47"/>
      <c r="Y422" s="47"/>
      <c r="Z422" s="49"/>
      <c r="AA422" s="49"/>
      <c r="AB422" s="20"/>
    </row>
    <row r="423" spans="1:28" ht="15.75" customHeight="1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8"/>
      <c r="K423" s="47"/>
      <c r="L423" s="47"/>
      <c r="M423" s="47"/>
      <c r="N423" s="47"/>
      <c r="O423" s="47"/>
      <c r="P423" s="47"/>
      <c r="Q423" s="47"/>
      <c r="R423" s="47"/>
      <c r="S423" s="49"/>
      <c r="T423" s="49"/>
      <c r="U423" s="47"/>
      <c r="V423" s="50"/>
      <c r="W423" s="47"/>
      <c r="X423" s="47"/>
      <c r="Y423" s="47"/>
      <c r="Z423" s="49"/>
      <c r="AA423" s="49"/>
      <c r="AB423" s="20"/>
    </row>
    <row r="424" spans="1:28" ht="15.75" customHeight="1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8"/>
      <c r="K424" s="47"/>
      <c r="L424" s="47"/>
      <c r="M424" s="47"/>
      <c r="N424" s="47"/>
      <c r="O424" s="47"/>
      <c r="P424" s="47"/>
      <c r="Q424" s="47"/>
      <c r="R424" s="47"/>
      <c r="S424" s="49"/>
      <c r="T424" s="49"/>
      <c r="U424" s="47"/>
      <c r="V424" s="50"/>
      <c r="W424" s="47"/>
      <c r="X424" s="47"/>
      <c r="Y424" s="47"/>
      <c r="Z424" s="49"/>
      <c r="AA424" s="49"/>
      <c r="AB424" s="20"/>
    </row>
    <row r="425" spans="1:28" ht="15.75" customHeight="1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8"/>
      <c r="K425" s="47"/>
      <c r="L425" s="47"/>
      <c r="M425" s="47"/>
      <c r="N425" s="47"/>
      <c r="O425" s="47"/>
      <c r="P425" s="47"/>
      <c r="Q425" s="47"/>
      <c r="R425" s="47"/>
      <c r="S425" s="49"/>
      <c r="T425" s="49"/>
      <c r="U425" s="47"/>
      <c r="V425" s="50"/>
      <c r="W425" s="47"/>
      <c r="X425" s="47"/>
      <c r="Y425" s="47"/>
      <c r="Z425" s="49"/>
      <c r="AA425" s="49"/>
      <c r="AB425" s="20"/>
    </row>
    <row r="426" spans="1:28" ht="15.75" customHeight="1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8"/>
      <c r="K426" s="47"/>
      <c r="L426" s="47"/>
      <c r="M426" s="47"/>
      <c r="N426" s="47"/>
      <c r="O426" s="47"/>
      <c r="P426" s="47"/>
      <c r="Q426" s="47"/>
      <c r="R426" s="47"/>
      <c r="S426" s="49"/>
      <c r="T426" s="49"/>
      <c r="U426" s="47"/>
      <c r="V426" s="50"/>
      <c r="W426" s="47"/>
      <c r="X426" s="47"/>
      <c r="Y426" s="47"/>
      <c r="Z426" s="49"/>
      <c r="AA426" s="49"/>
      <c r="AB426" s="20"/>
    </row>
    <row r="427" spans="1:28" ht="15.75" customHeight="1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8"/>
      <c r="K427" s="47"/>
      <c r="L427" s="47"/>
      <c r="M427" s="47"/>
      <c r="N427" s="47"/>
      <c r="O427" s="47"/>
      <c r="P427" s="47"/>
      <c r="Q427" s="47"/>
      <c r="R427" s="47"/>
      <c r="S427" s="49"/>
      <c r="T427" s="49"/>
      <c r="U427" s="47"/>
      <c r="V427" s="50"/>
      <c r="W427" s="47"/>
      <c r="X427" s="47"/>
      <c r="Y427" s="47"/>
      <c r="Z427" s="49"/>
      <c r="AA427" s="49"/>
      <c r="AB427" s="20"/>
    </row>
    <row r="428" spans="1:28" ht="15.75" customHeight="1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8"/>
      <c r="K428" s="47"/>
      <c r="L428" s="47"/>
      <c r="M428" s="47"/>
      <c r="N428" s="47"/>
      <c r="O428" s="47"/>
      <c r="P428" s="47"/>
      <c r="Q428" s="47"/>
      <c r="R428" s="47"/>
      <c r="S428" s="49"/>
      <c r="T428" s="49"/>
      <c r="U428" s="47"/>
      <c r="V428" s="50"/>
      <c r="W428" s="47"/>
      <c r="X428" s="47"/>
      <c r="Y428" s="47"/>
      <c r="Z428" s="49"/>
      <c r="AA428" s="49"/>
      <c r="AB428" s="20"/>
    </row>
    <row r="429" spans="1:28" ht="15.75" customHeight="1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8"/>
      <c r="K429" s="47"/>
      <c r="L429" s="47"/>
      <c r="M429" s="47"/>
      <c r="N429" s="47"/>
      <c r="O429" s="47"/>
      <c r="P429" s="47"/>
      <c r="Q429" s="47"/>
      <c r="R429" s="47"/>
      <c r="S429" s="49"/>
      <c r="T429" s="49"/>
      <c r="U429" s="47"/>
      <c r="V429" s="50"/>
      <c r="W429" s="47"/>
      <c r="X429" s="47"/>
      <c r="Y429" s="47"/>
      <c r="Z429" s="49"/>
      <c r="AA429" s="49"/>
      <c r="AB429" s="20"/>
    </row>
    <row r="430" spans="1:28" ht="15.75" customHeight="1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8"/>
      <c r="K430" s="47"/>
      <c r="L430" s="47"/>
      <c r="M430" s="47"/>
      <c r="N430" s="47"/>
      <c r="O430" s="47"/>
      <c r="P430" s="47"/>
      <c r="Q430" s="47"/>
      <c r="R430" s="47"/>
      <c r="S430" s="49"/>
      <c r="T430" s="49"/>
      <c r="U430" s="47"/>
      <c r="V430" s="50"/>
      <c r="W430" s="47"/>
      <c r="X430" s="47"/>
      <c r="Y430" s="47"/>
      <c r="Z430" s="49"/>
      <c r="AA430" s="49"/>
      <c r="AB430" s="20"/>
    </row>
    <row r="431" spans="1:28" ht="15.75" customHeight="1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8"/>
      <c r="K431" s="47"/>
      <c r="L431" s="47"/>
      <c r="M431" s="47"/>
      <c r="N431" s="47"/>
      <c r="O431" s="47"/>
      <c r="P431" s="47"/>
      <c r="Q431" s="47"/>
      <c r="R431" s="47"/>
      <c r="S431" s="49"/>
      <c r="T431" s="49"/>
      <c r="U431" s="47"/>
      <c r="V431" s="50"/>
      <c r="W431" s="47"/>
      <c r="X431" s="47"/>
      <c r="Y431" s="47"/>
      <c r="Z431" s="49"/>
      <c r="AA431" s="49"/>
      <c r="AB431" s="20"/>
    </row>
    <row r="432" spans="1:28" ht="15.75" customHeight="1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8"/>
      <c r="K432" s="47"/>
      <c r="L432" s="47"/>
      <c r="M432" s="47"/>
      <c r="N432" s="47"/>
      <c r="O432" s="47"/>
      <c r="P432" s="47"/>
      <c r="Q432" s="47"/>
      <c r="R432" s="47"/>
      <c r="S432" s="49"/>
      <c r="T432" s="49"/>
      <c r="U432" s="47"/>
      <c r="V432" s="50"/>
      <c r="W432" s="47"/>
      <c r="X432" s="47"/>
      <c r="Y432" s="47"/>
      <c r="Z432" s="49"/>
      <c r="AA432" s="49"/>
      <c r="AB432" s="20"/>
    </row>
    <row r="433" spans="1:28" ht="15.75" customHeight="1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8"/>
      <c r="K433" s="47"/>
      <c r="L433" s="47"/>
      <c r="M433" s="47"/>
      <c r="N433" s="47"/>
      <c r="O433" s="47"/>
      <c r="P433" s="47"/>
      <c r="Q433" s="47"/>
      <c r="R433" s="47"/>
      <c r="S433" s="49"/>
      <c r="T433" s="49"/>
      <c r="U433" s="47"/>
      <c r="V433" s="50"/>
      <c r="W433" s="47"/>
      <c r="X433" s="47"/>
      <c r="Y433" s="47"/>
      <c r="Z433" s="49"/>
      <c r="AA433" s="49"/>
      <c r="AB433" s="20"/>
    </row>
    <row r="434" spans="1:28" ht="15.75" customHeight="1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8"/>
      <c r="K434" s="47"/>
      <c r="L434" s="47"/>
      <c r="M434" s="47"/>
      <c r="N434" s="47"/>
      <c r="O434" s="47"/>
      <c r="P434" s="47"/>
      <c r="Q434" s="47"/>
      <c r="R434" s="47"/>
      <c r="S434" s="49"/>
      <c r="T434" s="49"/>
      <c r="U434" s="47"/>
      <c r="V434" s="50"/>
      <c r="W434" s="47"/>
      <c r="X434" s="47"/>
      <c r="Y434" s="47"/>
      <c r="Z434" s="49"/>
      <c r="AA434" s="49"/>
      <c r="AB434" s="20"/>
    </row>
    <row r="435" spans="1:28" ht="15.75" customHeight="1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8"/>
      <c r="K435" s="47"/>
      <c r="L435" s="47"/>
      <c r="M435" s="47"/>
      <c r="N435" s="47"/>
      <c r="O435" s="47"/>
      <c r="P435" s="47"/>
      <c r="Q435" s="47"/>
      <c r="R435" s="47"/>
      <c r="S435" s="49"/>
      <c r="T435" s="49"/>
      <c r="U435" s="47"/>
      <c r="V435" s="50"/>
      <c r="W435" s="47"/>
      <c r="X435" s="47"/>
      <c r="Y435" s="47"/>
      <c r="Z435" s="49"/>
      <c r="AA435" s="49"/>
      <c r="AB435" s="20"/>
    </row>
    <row r="436" spans="1:28" ht="15.75" customHeight="1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8"/>
      <c r="K436" s="47"/>
      <c r="L436" s="47"/>
      <c r="M436" s="47"/>
      <c r="N436" s="47"/>
      <c r="O436" s="47"/>
      <c r="P436" s="47"/>
      <c r="Q436" s="47"/>
      <c r="R436" s="47"/>
      <c r="S436" s="49"/>
      <c r="T436" s="49"/>
      <c r="U436" s="47"/>
      <c r="V436" s="50"/>
      <c r="W436" s="47"/>
      <c r="X436" s="47"/>
      <c r="Y436" s="47"/>
      <c r="Z436" s="49"/>
      <c r="AA436" s="49"/>
      <c r="AB436" s="20"/>
    </row>
    <row r="437" spans="1:28" ht="15.75" customHeight="1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8"/>
      <c r="K437" s="47"/>
      <c r="L437" s="47"/>
      <c r="M437" s="47"/>
      <c r="N437" s="47"/>
      <c r="O437" s="47"/>
      <c r="P437" s="47"/>
      <c r="Q437" s="47"/>
      <c r="R437" s="47"/>
      <c r="S437" s="49"/>
      <c r="T437" s="49"/>
      <c r="U437" s="47"/>
      <c r="V437" s="50"/>
      <c r="W437" s="47"/>
      <c r="X437" s="47"/>
      <c r="Y437" s="47"/>
      <c r="Z437" s="49"/>
      <c r="AA437" s="49"/>
      <c r="AB437" s="20"/>
    </row>
    <row r="438" spans="1:28" ht="15.75" customHeight="1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8"/>
      <c r="K438" s="47"/>
      <c r="L438" s="47"/>
      <c r="M438" s="47"/>
      <c r="N438" s="47"/>
      <c r="O438" s="47"/>
      <c r="P438" s="47"/>
      <c r="Q438" s="47"/>
      <c r="R438" s="47"/>
      <c r="S438" s="49"/>
      <c r="T438" s="49"/>
      <c r="U438" s="47"/>
      <c r="V438" s="50"/>
      <c r="W438" s="47"/>
      <c r="X438" s="47"/>
      <c r="Y438" s="47"/>
      <c r="Z438" s="49"/>
      <c r="AA438" s="49"/>
      <c r="AB438" s="20"/>
    </row>
    <row r="439" spans="1:28" ht="15.75" customHeight="1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8"/>
      <c r="K439" s="47"/>
      <c r="L439" s="47"/>
      <c r="M439" s="47"/>
      <c r="N439" s="47"/>
      <c r="O439" s="47"/>
      <c r="P439" s="47"/>
      <c r="Q439" s="47"/>
      <c r="R439" s="47"/>
      <c r="S439" s="49"/>
      <c r="T439" s="49"/>
      <c r="U439" s="47"/>
      <c r="V439" s="50"/>
      <c r="W439" s="47"/>
      <c r="X439" s="47"/>
      <c r="Y439" s="47"/>
      <c r="Z439" s="49"/>
      <c r="AA439" s="49"/>
      <c r="AB439" s="20"/>
    </row>
    <row r="440" spans="1:28" ht="15.75" customHeight="1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8"/>
      <c r="K440" s="47"/>
      <c r="L440" s="47"/>
      <c r="M440" s="47"/>
      <c r="N440" s="47"/>
      <c r="O440" s="47"/>
      <c r="P440" s="47"/>
      <c r="Q440" s="47"/>
      <c r="R440" s="47"/>
      <c r="S440" s="49"/>
      <c r="T440" s="49"/>
      <c r="U440" s="47"/>
      <c r="V440" s="50"/>
      <c r="W440" s="47"/>
      <c r="X440" s="47"/>
      <c r="Y440" s="47"/>
      <c r="Z440" s="49"/>
      <c r="AA440" s="49"/>
      <c r="AB440" s="20"/>
    </row>
    <row r="441" spans="1:28" ht="15.75" customHeight="1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8"/>
      <c r="K441" s="47"/>
      <c r="L441" s="47"/>
      <c r="M441" s="47"/>
      <c r="N441" s="47"/>
      <c r="O441" s="47"/>
      <c r="P441" s="47"/>
      <c r="Q441" s="47"/>
      <c r="R441" s="47"/>
      <c r="S441" s="49"/>
      <c r="T441" s="49"/>
      <c r="U441" s="47"/>
      <c r="V441" s="50"/>
      <c r="W441" s="47"/>
      <c r="X441" s="47"/>
      <c r="Y441" s="47"/>
      <c r="Z441" s="49"/>
      <c r="AA441" s="49"/>
      <c r="AB441" s="20"/>
    </row>
    <row r="442" spans="1:28" ht="15.75" customHeight="1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8"/>
      <c r="K442" s="47"/>
      <c r="L442" s="47"/>
      <c r="M442" s="47"/>
      <c r="N442" s="47"/>
      <c r="O442" s="47"/>
      <c r="P442" s="47"/>
      <c r="Q442" s="47"/>
      <c r="R442" s="47"/>
      <c r="S442" s="49"/>
      <c r="T442" s="49"/>
      <c r="U442" s="47"/>
      <c r="V442" s="50"/>
      <c r="W442" s="47"/>
      <c r="X442" s="47"/>
      <c r="Y442" s="47"/>
      <c r="Z442" s="49"/>
      <c r="AA442" s="49"/>
      <c r="AB442" s="20"/>
    </row>
    <row r="443" spans="1:28" ht="15.75" customHeight="1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8"/>
      <c r="K443" s="47"/>
      <c r="L443" s="47"/>
      <c r="M443" s="47"/>
      <c r="N443" s="47"/>
      <c r="O443" s="47"/>
      <c r="P443" s="47"/>
      <c r="Q443" s="47"/>
      <c r="R443" s="47"/>
      <c r="S443" s="49"/>
      <c r="T443" s="49"/>
      <c r="U443" s="47"/>
      <c r="V443" s="50"/>
      <c r="W443" s="47"/>
      <c r="X443" s="47"/>
      <c r="Y443" s="47"/>
      <c r="Z443" s="49"/>
      <c r="AA443" s="49"/>
      <c r="AB443" s="20"/>
    </row>
    <row r="444" spans="1:28" ht="15.75" customHeight="1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8"/>
      <c r="K444" s="47"/>
      <c r="L444" s="47"/>
      <c r="M444" s="47"/>
      <c r="N444" s="47"/>
      <c r="O444" s="47"/>
      <c r="P444" s="47"/>
      <c r="Q444" s="47"/>
      <c r="R444" s="47"/>
      <c r="S444" s="49"/>
      <c r="T444" s="49"/>
      <c r="U444" s="47"/>
      <c r="V444" s="50"/>
      <c r="W444" s="47"/>
      <c r="X444" s="47"/>
      <c r="Y444" s="47"/>
      <c r="Z444" s="49"/>
      <c r="AA444" s="49"/>
      <c r="AB444" s="20"/>
    </row>
    <row r="445" spans="1:28" ht="15.75" customHeight="1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8"/>
      <c r="K445" s="47"/>
      <c r="L445" s="47"/>
      <c r="M445" s="47"/>
      <c r="N445" s="47"/>
      <c r="O445" s="47"/>
      <c r="P445" s="47"/>
      <c r="Q445" s="47"/>
      <c r="R445" s="47"/>
      <c r="S445" s="49"/>
      <c r="T445" s="49"/>
      <c r="U445" s="47"/>
      <c r="V445" s="50"/>
      <c r="W445" s="47"/>
      <c r="X445" s="47"/>
      <c r="Y445" s="47"/>
      <c r="Z445" s="49"/>
      <c r="AA445" s="49"/>
      <c r="AB445" s="20"/>
    </row>
    <row r="446" spans="1:28" ht="15.75" customHeight="1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8"/>
      <c r="K446" s="47"/>
      <c r="L446" s="47"/>
      <c r="M446" s="47"/>
      <c r="N446" s="47"/>
      <c r="O446" s="47"/>
      <c r="P446" s="47"/>
      <c r="Q446" s="47"/>
      <c r="R446" s="47"/>
      <c r="S446" s="49"/>
      <c r="T446" s="49"/>
      <c r="U446" s="47"/>
      <c r="V446" s="50"/>
      <c r="W446" s="47"/>
      <c r="X446" s="47"/>
      <c r="Y446" s="47"/>
      <c r="Z446" s="49"/>
      <c r="AA446" s="49"/>
      <c r="AB446" s="20"/>
    </row>
    <row r="447" spans="1:28" ht="15.75" customHeight="1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8"/>
      <c r="K447" s="47"/>
      <c r="L447" s="47"/>
      <c r="M447" s="47"/>
      <c r="N447" s="47"/>
      <c r="O447" s="47"/>
      <c r="P447" s="47"/>
      <c r="Q447" s="47"/>
      <c r="R447" s="47"/>
      <c r="S447" s="49"/>
      <c r="T447" s="49"/>
      <c r="U447" s="47"/>
      <c r="V447" s="50"/>
      <c r="W447" s="47"/>
      <c r="X447" s="47"/>
      <c r="Y447" s="47"/>
      <c r="Z447" s="49"/>
      <c r="AA447" s="49"/>
      <c r="AB447" s="20"/>
    </row>
    <row r="448" spans="1:28" ht="15.75" customHeight="1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8"/>
      <c r="K448" s="47"/>
      <c r="L448" s="47"/>
      <c r="M448" s="47"/>
      <c r="N448" s="47"/>
      <c r="O448" s="47"/>
      <c r="P448" s="47"/>
      <c r="Q448" s="47"/>
      <c r="R448" s="47"/>
      <c r="S448" s="49"/>
      <c r="T448" s="49"/>
      <c r="U448" s="47"/>
      <c r="V448" s="50"/>
      <c r="W448" s="47"/>
      <c r="X448" s="47"/>
      <c r="Y448" s="47"/>
      <c r="Z448" s="49"/>
      <c r="AA448" s="49"/>
      <c r="AB448" s="20"/>
    </row>
    <row r="449" spans="1:28" ht="15.75" customHeight="1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8"/>
      <c r="K449" s="47"/>
      <c r="L449" s="47"/>
      <c r="M449" s="47"/>
      <c r="N449" s="47"/>
      <c r="O449" s="47"/>
      <c r="P449" s="47"/>
      <c r="Q449" s="47"/>
      <c r="R449" s="47"/>
      <c r="S449" s="49"/>
      <c r="T449" s="49"/>
      <c r="U449" s="47"/>
      <c r="V449" s="50"/>
      <c r="W449" s="47"/>
      <c r="X449" s="47"/>
      <c r="Y449" s="47"/>
      <c r="Z449" s="49"/>
      <c r="AA449" s="49"/>
      <c r="AB449" s="20"/>
    </row>
    <row r="450" spans="1:28" ht="15.75" customHeight="1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8"/>
      <c r="K450" s="47"/>
      <c r="L450" s="47"/>
      <c r="M450" s="47"/>
      <c r="N450" s="47"/>
      <c r="O450" s="47"/>
      <c r="P450" s="47"/>
      <c r="Q450" s="47"/>
      <c r="R450" s="47"/>
      <c r="S450" s="49"/>
      <c r="T450" s="49"/>
      <c r="U450" s="47"/>
      <c r="V450" s="50"/>
      <c r="W450" s="47"/>
      <c r="X450" s="47"/>
      <c r="Y450" s="47"/>
      <c r="Z450" s="49"/>
      <c r="AA450" s="49"/>
      <c r="AB450" s="20"/>
    </row>
    <row r="451" spans="1:28" ht="15.75" customHeight="1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8"/>
      <c r="K451" s="47"/>
      <c r="L451" s="47"/>
      <c r="M451" s="47"/>
      <c r="N451" s="47"/>
      <c r="O451" s="47"/>
      <c r="P451" s="47"/>
      <c r="Q451" s="47"/>
      <c r="R451" s="47"/>
      <c r="S451" s="49"/>
      <c r="T451" s="49"/>
      <c r="U451" s="47"/>
      <c r="V451" s="50"/>
      <c r="W451" s="47"/>
      <c r="X451" s="47"/>
      <c r="Y451" s="47"/>
      <c r="Z451" s="49"/>
      <c r="AA451" s="49"/>
      <c r="AB451" s="20"/>
    </row>
    <row r="452" spans="1:28" ht="15.75" customHeight="1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8"/>
      <c r="K452" s="47"/>
      <c r="L452" s="47"/>
      <c r="M452" s="47"/>
      <c r="N452" s="47"/>
      <c r="O452" s="47"/>
      <c r="P452" s="47"/>
      <c r="Q452" s="47"/>
      <c r="R452" s="47"/>
      <c r="S452" s="49"/>
      <c r="T452" s="49"/>
      <c r="U452" s="47"/>
      <c r="V452" s="50"/>
      <c r="W452" s="47"/>
      <c r="X452" s="47"/>
      <c r="Y452" s="47"/>
      <c r="Z452" s="49"/>
      <c r="AA452" s="49"/>
      <c r="AB452" s="20"/>
    </row>
    <row r="453" spans="1:28" ht="15.75" customHeight="1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8"/>
      <c r="K453" s="47"/>
      <c r="L453" s="47"/>
      <c r="M453" s="47"/>
      <c r="N453" s="47"/>
      <c r="O453" s="47"/>
      <c r="P453" s="47"/>
      <c r="Q453" s="47"/>
      <c r="R453" s="47"/>
      <c r="S453" s="49"/>
      <c r="T453" s="49"/>
      <c r="U453" s="47"/>
      <c r="V453" s="50"/>
      <c r="W453" s="47"/>
      <c r="X453" s="47"/>
      <c r="Y453" s="47"/>
      <c r="Z453" s="49"/>
      <c r="AA453" s="49"/>
      <c r="AB453" s="20"/>
    </row>
    <row r="454" spans="1:28" ht="15.75" customHeight="1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8"/>
      <c r="K454" s="47"/>
      <c r="L454" s="47"/>
      <c r="M454" s="47"/>
      <c r="N454" s="47"/>
      <c r="O454" s="47"/>
      <c r="P454" s="47"/>
      <c r="Q454" s="47"/>
      <c r="R454" s="47"/>
      <c r="S454" s="49"/>
      <c r="T454" s="49"/>
      <c r="U454" s="47"/>
      <c r="V454" s="50"/>
      <c r="W454" s="47"/>
      <c r="X454" s="47"/>
      <c r="Y454" s="47"/>
      <c r="Z454" s="49"/>
      <c r="AA454" s="49"/>
      <c r="AB454" s="20"/>
    </row>
    <row r="455" spans="1:28" ht="15.75" customHeight="1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8"/>
      <c r="K455" s="47"/>
      <c r="L455" s="47"/>
      <c r="M455" s="47"/>
      <c r="N455" s="47"/>
      <c r="O455" s="47"/>
      <c r="P455" s="47"/>
      <c r="Q455" s="47"/>
      <c r="R455" s="47"/>
      <c r="S455" s="49"/>
      <c r="T455" s="49"/>
      <c r="U455" s="47"/>
      <c r="V455" s="50"/>
      <c r="W455" s="47"/>
      <c r="X455" s="47"/>
      <c r="Y455" s="47"/>
      <c r="Z455" s="49"/>
      <c r="AA455" s="49"/>
      <c r="AB455" s="20"/>
    </row>
    <row r="456" spans="1:28" ht="15.75" customHeight="1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8"/>
      <c r="K456" s="47"/>
      <c r="L456" s="47"/>
      <c r="M456" s="47"/>
      <c r="N456" s="47"/>
      <c r="O456" s="47"/>
      <c r="P456" s="47"/>
      <c r="Q456" s="47"/>
      <c r="R456" s="47"/>
      <c r="S456" s="49"/>
      <c r="T456" s="49"/>
      <c r="U456" s="47"/>
      <c r="V456" s="50"/>
      <c r="W456" s="47"/>
      <c r="X456" s="47"/>
      <c r="Y456" s="47"/>
      <c r="Z456" s="49"/>
      <c r="AA456" s="49"/>
      <c r="AB456" s="20"/>
    </row>
    <row r="457" spans="1:28" ht="15.75" customHeight="1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8"/>
      <c r="K457" s="47"/>
      <c r="L457" s="47"/>
      <c r="M457" s="47"/>
      <c r="N457" s="47"/>
      <c r="O457" s="47"/>
      <c r="P457" s="47"/>
      <c r="Q457" s="47"/>
      <c r="R457" s="47"/>
      <c r="S457" s="49"/>
      <c r="T457" s="49"/>
      <c r="U457" s="47"/>
      <c r="V457" s="50"/>
      <c r="W457" s="47"/>
      <c r="X457" s="47"/>
      <c r="Y457" s="47"/>
      <c r="Z457" s="49"/>
      <c r="AA457" s="49"/>
      <c r="AB457" s="20"/>
    </row>
    <row r="458" spans="1:28" ht="15.75" customHeight="1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8"/>
      <c r="K458" s="47"/>
      <c r="L458" s="47"/>
      <c r="M458" s="47"/>
      <c r="N458" s="47"/>
      <c r="O458" s="47"/>
      <c r="P458" s="47"/>
      <c r="Q458" s="47"/>
      <c r="R458" s="47"/>
      <c r="S458" s="49"/>
      <c r="T458" s="49"/>
      <c r="U458" s="47"/>
      <c r="V458" s="50"/>
      <c r="W458" s="47"/>
      <c r="X458" s="47"/>
      <c r="Y458" s="47"/>
      <c r="Z458" s="49"/>
      <c r="AA458" s="49"/>
      <c r="AB458" s="20"/>
    </row>
    <row r="459" spans="1:28" ht="15.75" customHeight="1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8"/>
      <c r="K459" s="47"/>
      <c r="L459" s="47"/>
      <c r="M459" s="47"/>
      <c r="N459" s="47"/>
      <c r="O459" s="47"/>
      <c r="P459" s="47"/>
      <c r="Q459" s="47"/>
      <c r="R459" s="47"/>
      <c r="S459" s="49"/>
      <c r="T459" s="49"/>
      <c r="U459" s="47"/>
      <c r="V459" s="50"/>
      <c r="W459" s="47"/>
      <c r="X459" s="47"/>
      <c r="Y459" s="47"/>
      <c r="Z459" s="49"/>
      <c r="AA459" s="49"/>
      <c r="AB459" s="20"/>
    </row>
    <row r="460" spans="1:28" ht="15.75" customHeight="1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8"/>
      <c r="K460" s="47"/>
      <c r="L460" s="47"/>
      <c r="M460" s="47"/>
      <c r="N460" s="47"/>
      <c r="O460" s="47"/>
      <c r="P460" s="47"/>
      <c r="Q460" s="47"/>
      <c r="R460" s="47"/>
      <c r="S460" s="49"/>
      <c r="T460" s="49"/>
      <c r="U460" s="47"/>
      <c r="V460" s="50"/>
      <c r="W460" s="47"/>
      <c r="X460" s="47"/>
      <c r="Y460" s="47"/>
      <c r="Z460" s="49"/>
      <c r="AA460" s="49"/>
      <c r="AB460" s="20"/>
    </row>
    <row r="461" spans="1:28" ht="15.75" customHeight="1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8"/>
      <c r="K461" s="47"/>
      <c r="L461" s="47"/>
      <c r="M461" s="47"/>
      <c r="N461" s="47"/>
      <c r="O461" s="47"/>
      <c r="P461" s="47"/>
      <c r="Q461" s="47"/>
      <c r="R461" s="47"/>
      <c r="S461" s="49"/>
      <c r="T461" s="49"/>
      <c r="U461" s="47"/>
      <c r="V461" s="50"/>
      <c r="W461" s="47"/>
      <c r="X461" s="47"/>
      <c r="Y461" s="47"/>
      <c r="Z461" s="49"/>
      <c r="AA461" s="49"/>
      <c r="AB461" s="20"/>
    </row>
    <row r="462" spans="1:28" ht="15.75" customHeight="1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8"/>
      <c r="K462" s="47"/>
      <c r="L462" s="47"/>
      <c r="M462" s="47"/>
      <c r="N462" s="47"/>
      <c r="O462" s="47"/>
      <c r="P462" s="47"/>
      <c r="Q462" s="47"/>
      <c r="R462" s="47"/>
      <c r="S462" s="49"/>
      <c r="T462" s="49"/>
      <c r="U462" s="47"/>
      <c r="V462" s="50"/>
      <c r="W462" s="47"/>
      <c r="X462" s="47"/>
      <c r="Y462" s="47"/>
      <c r="Z462" s="49"/>
      <c r="AA462" s="49"/>
      <c r="AB462" s="20"/>
    </row>
    <row r="463" spans="1:28" ht="15.75" customHeight="1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8"/>
      <c r="K463" s="47"/>
      <c r="L463" s="47"/>
      <c r="M463" s="47"/>
      <c r="N463" s="47"/>
      <c r="O463" s="47"/>
      <c r="P463" s="47"/>
      <c r="Q463" s="47"/>
      <c r="R463" s="47"/>
      <c r="S463" s="49"/>
      <c r="T463" s="49"/>
      <c r="U463" s="47"/>
      <c r="V463" s="50"/>
      <c r="W463" s="47"/>
      <c r="X463" s="47"/>
      <c r="Y463" s="47"/>
      <c r="Z463" s="49"/>
      <c r="AA463" s="49"/>
      <c r="AB463" s="20"/>
    </row>
    <row r="464" spans="1:28" ht="15.75" customHeight="1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8"/>
      <c r="K464" s="47"/>
      <c r="L464" s="47"/>
      <c r="M464" s="47"/>
      <c r="N464" s="47"/>
      <c r="O464" s="47"/>
      <c r="P464" s="47"/>
      <c r="Q464" s="47"/>
      <c r="R464" s="47"/>
      <c r="S464" s="49"/>
      <c r="T464" s="49"/>
      <c r="U464" s="47"/>
      <c r="V464" s="50"/>
      <c r="W464" s="47"/>
      <c r="X464" s="47"/>
      <c r="Y464" s="47"/>
      <c r="Z464" s="49"/>
      <c r="AA464" s="49"/>
      <c r="AB464" s="20"/>
    </row>
    <row r="465" spans="1:28" ht="15.75" customHeight="1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8"/>
      <c r="K465" s="47"/>
      <c r="L465" s="47"/>
      <c r="M465" s="47"/>
      <c r="N465" s="47"/>
      <c r="O465" s="47"/>
      <c r="P465" s="47"/>
      <c r="Q465" s="47"/>
      <c r="R465" s="47"/>
      <c r="S465" s="49"/>
      <c r="T465" s="49"/>
      <c r="U465" s="47"/>
      <c r="V465" s="50"/>
      <c r="W465" s="47"/>
      <c r="X465" s="47"/>
      <c r="Y465" s="47"/>
      <c r="Z465" s="49"/>
      <c r="AA465" s="49"/>
      <c r="AB465" s="20"/>
    </row>
    <row r="466" spans="1:28" ht="15.75" customHeight="1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8"/>
      <c r="K466" s="47"/>
      <c r="L466" s="47"/>
      <c r="M466" s="47"/>
      <c r="N466" s="47"/>
      <c r="O466" s="47"/>
      <c r="P466" s="47"/>
      <c r="Q466" s="47"/>
      <c r="R466" s="47"/>
      <c r="S466" s="49"/>
      <c r="T466" s="49"/>
      <c r="U466" s="47"/>
      <c r="V466" s="50"/>
      <c r="W466" s="47"/>
      <c r="X466" s="47"/>
      <c r="Y466" s="47"/>
      <c r="Z466" s="49"/>
      <c r="AA466" s="49"/>
      <c r="AB466" s="20"/>
    </row>
    <row r="467" spans="1:28" ht="15.75" customHeight="1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8"/>
      <c r="K467" s="47"/>
      <c r="L467" s="47"/>
      <c r="M467" s="47"/>
      <c r="N467" s="47"/>
      <c r="O467" s="47"/>
      <c r="P467" s="47"/>
      <c r="Q467" s="47"/>
      <c r="R467" s="47"/>
      <c r="S467" s="49"/>
      <c r="T467" s="49"/>
      <c r="U467" s="47"/>
      <c r="V467" s="50"/>
      <c r="W467" s="47"/>
      <c r="X467" s="47"/>
      <c r="Y467" s="47"/>
      <c r="Z467" s="49"/>
      <c r="AA467" s="49"/>
      <c r="AB467" s="20"/>
    </row>
    <row r="468" spans="1:28" ht="15.75" customHeight="1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8"/>
      <c r="K468" s="47"/>
      <c r="L468" s="47"/>
      <c r="M468" s="47"/>
      <c r="N468" s="47"/>
      <c r="O468" s="47"/>
      <c r="P468" s="47"/>
      <c r="Q468" s="47"/>
      <c r="R468" s="47"/>
      <c r="S468" s="49"/>
      <c r="T468" s="49"/>
      <c r="U468" s="47"/>
      <c r="V468" s="50"/>
      <c r="W468" s="47"/>
      <c r="X468" s="47"/>
      <c r="Y468" s="47"/>
      <c r="Z468" s="49"/>
      <c r="AA468" s="49"/>
      <c r="AB468" s="20"/>
    </row>
    <row r="469" spans="1:28" ht="15.75" customHeight="1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8"/>
      <c r="K469" s="47"/>
      <c r="L469" s="47"/>
      <c r="M469" s="47"/>
      <c r="N469" s="47"/>
      <c r="O469" s="47"/>
      <c r="P469" s="47"/>
      <c r="Q469" s="47"/>
      <c r="R469" s="47"/>
      <c r="S469" s="49"/>
      <c r="T469" s="49"/>
      <c r="U469" s="47"/>
      <c r="V469" s="50"/>
      <c r="W469" s="47"/>
      <c r="X469" s="47"/>
      <c r="Y469" s="47"/>
      <c r="Z469" s="49"/>
      <c r="AA469" s="49"/>
      <c r="AB469" s="20"/>
    </row>
    <row r="470" spans="1:28" ht="15.75" customHeight="1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8"/>
      <c r="K470" s="47"/>
      <c r="L470" s="47"/>
      <c r="M470" s="47"/>
      <c r="N470" s="47"/>
      <c r="O470" s="47"/>
      <c r="P470" s="47"/>
      <c r="Q470" s="47"/>
      <c r="R470" s="47"/>
      <c r="S470" s="49"/>
      <c r="T470" s="49"/>
      <c r="U470" s="47"/>
      <c r="V470" s="50"/>
      <c r="W470" s="47"/>
      <c r="X470" s="47"/>
      <c r="Y470" s="47"/>
      <c r="Z470" s="49"/>
      <c r="AA470" s="49"/>
      <c r="AB470" s="20"/>
    </row>
    <row r="471" spans="1:28" ht="15.75" customHeight="1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8"/>
      <c r="K471" s="47"/>
      <c r="L471" s="47"/>
      <c r="M471" s="47"/>
      <c r="N471" s="47"/>
      <c r="O471" s="47"/>
      <c r="P471" s="47"/>
      <c r="Q471" s="47"/>
      <c r="R471" s="47"/>
      <c r="S471" s="49"/>
      <c r="T471" s="49"/>
      <c r="U471" s="47"/>
      <c r="V471" s="50"/>
      <c r="W471" s="47"/>
      <c r="X471" s="47"/>
      <c r="Y471" s="47"/>
      <c r="Z471" s="49"/>
      <c r="AA471" s="49"/>
      <c r="AB471" s="20"/>
    </row>
    <row r="472" spans="1:28" ht="15.75" customHeight="1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8"/>
      <c r="K472" s="47"/>
      <c r="L472" s="47"/>
      <c r="M472" s="47"/>
      <c r="N472" s="47"/>
      <c r="O472" s="47"/>
      <c r="P472" s="47"/>
      <c r="Q472" s="47"/>
      <c r="R472" s="47"/>
      <c r="S472" s="49"/>
      <c r="T472" s="49"/>
      <c r="U472" s="47"/>
      <c r="V472" s="50"/>
      <c r="W472" s="47"/>
      <c r="X472" s="47"/>
      <c r="Y472" s="47"/>
      <c r="Z472" s="49"/>
      <c r="AA472" s="49"/>
      <c r="AB472" s="20"/>
    </row>
    <row r="473" spans="1:28" ht="15.75" customHeight="1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8"/>
      <c r="K473" s="47"/>
      <c r="L473" s="47"/>
      <c r="M473" s="47"/>
      <c r="N473" s="47"/>
      <c r="O473" s="47"/>
      <c r="P473" s="47"/>
      <c r="Q473" s="47"/>
      <c r="R473" s="47"/>
      <c r="S473" s="49"/>
      <c r="T473" s="49"/>
      <c r="U473" s="47"/>
      <c r="V473" s="50"/>
      <c r="W473" s="47"/>
      <c r="X473" s="47"/>
      <c r="Y473" s="47"/>
      <c r="Z473" s="49"/>
      <c r="AA473" s="49"/>
      <c r="AB473" s="20"/>
    </row>
    <row r="474" spans="1:28" ht="15.75" customHeight="1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8"/>
      <c r="K474" s="47"/>
      <c r="L474" s="47"/>
      <c r="M474" s="47"/>
      <c r="N474" s="47"/>
      <c r="O474" s="47"/>
      <c r="P474" s="47"/>
      <c r="Q474" s="47"/>
      <c r="R474" s="47"/>
      <c r="S474" s="49"/>
      <c r="T474" s="49"/>
      <c r="U474" s="47"/>
      <c r="V474" s="50"/>
      <c r="W474" s="47"/>
      <c r="X474" s="47"/>
      <c r="Y474" s="47"/>
      <c r="Z474" s="49"/>
      <c r="AA474" s="49"/>
      <c r="AB474" s="20"/>
    </row>
    <row r="475" spans="1:28" ht="15.75" customHeight="1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8"/>
      <c r="K475" s="47"/>
      <c r="L475" s="47"/>
      <c r="M475" s="47"/>
      <c r="N475" s="47"/>
      <c r="O475" s="47"/>
      <c r="P475" s="47"/>
      <c r="Q475" s="47"/>
      <c r="R475" s="47"/>
      <c r="S475" s="49"/>
      <c r="T475" s="49"/>
      <c r="U475" s="47"/>
      <c r="V475" s="50"/>
      <c r="W475" s="47"/>
      <c r="X475" s="47"/>
      <c r="Y475" s="47"/>
      <c r="Z475" s="49"/>
      <c r="AA475" s="49"/>
      <c r="AB475" s="20"/>
    </row>
    <row r="476" spans="1:28" ht="15.75" customHeight="1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8"/>
      <c r="K476" s="47"/>
      <c r="L476" s="47"/>
      <c r="M476" s="47"/>
      <c r="N476" s="47"/>
      <c r="O476" s="47"/>
      <c r="P476" s="47"/>
      <c r="Q476" s="47"/>
      <c r="R476" s="47"/>
      <c r="S476" s="49"/>
      <c r="T476" s="49"/>
      <c r="U476" s="47"/>
      <c r="V476" s="50"/>
      <c r="W476" s="47"/>
      <c r="X476" s="47"/>
      <c r="Y476" s="47"/>
      <c r="Z476" s="49"/>
      <c r="AA476" s="49"/>
      <c r="AB476" s="20"/>
    </row>
    <row r="477" spans="1:28" ht="15.75" customHeight="1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8"/>
      <c r="K477" s="47"/>
      <c r="L477" s="47"/>
      <c r="M477" s="47"/>
      <c r="N477" s="47"/>
      <c r="O477" s="47"/>
      <c r="P477" s="47"/>
      <c r="Q477" s="47"/>
      <c r="R477" s="47"/>
      <c r="S477" s="49"/>
      <c r="T477" s="49"/>
      <c r="U477" s="47"/>
      <c r="V477" s="50"/>
      <c r="W477" s="47"/>
      <c r="X477" s="47"/>
      <c r="Y477" s="47"/>
      <c r="Z477" s="49"/>
      <c r="AA477" s="49"/>
      <c r="AB477" s="20"/>
    </row>
    <row r="478" spans="1:28" ht="15.75" customHeight="1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8"/>
      <c r="K478" s="47"/>
      <c r="L478" s="47"/>
      <c r="M478" s="47"/>
      <c r="N478" s="47"/>
      <c r="O478" s="47"/>
      <c r="P478" s="47"/>
      <c r="Q478" s="47"/>
      <c r="R478" s="47"/>
      <c r="S478" s="49"/>
      <c r="T478" s="49"/>
      <c r="U478" s="47"/>
      <c r="V478" s="50"/>
      <c r="W478" s="47"/>
      <c r="X478" s="47"/>
      <c r="Y478" s="47"/>
      <c r="Z478" s="49"/>
      <c r="AA478" s="49"/>
      <c r="AB478" s="20"/>
    </row>
    <row r="479" spans="1:28" ht="15.75" customHeight="1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8"/>
      <c r="K479" s="47"/>
      <c r="L479" s="47"/>
      <c r="M479" s="47"/>
      <c r="N479" s="47"/>
      <c r="O479" s="47"/>
      <c r="P479" s="47"/>
      <c r="Q479" s="47"/>
      <c r="R479" s="47"/>
      <c r="S479" s="49"/>
      <c r="T479" s="49"/>
      <c r="U479" s="47"/>
      <c r="V479" s="50"/>
      <c r="W479" s="47"/>
      <c r="X479" s="47"/>
      <c r="Y479" s="47"/>
      <c r="Z479" s="49"/>
      <c r="AA479" s="49"/>
      <c r="AB479" s="20"/>
    </row>
    <row r="480" spans="1:28" ht="15.75" customHeight="1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8"/>
      <c r="K480" s="47"/>
      <c r="L480" s="47"/>
      <c r="M480" s="47"/>
      <c r="N480" s="47"/>
      <c r="O480" s="47"/>
      <c r="P480" s="47"/>
      <c r="Q480" s="47"/>
      <c r="R480" s="47"/>
      <c r="S480" s="49"/>
      <c r="T480" s="49"/>
      <c r="U480" s="47"/>
      <c r="V480" s="50"/>
      <c r="W480" s="47"/>
      <c r="X480" s="47"/>
      <c r="Y480" s="47"/>
      <c r="Z480" s="49"/>
      <c r="AA480" s="49"/>
      <c r="AB480" s="20"/>
    </row>
    <row r="481" spans="1:28" ht="15.75" customHeight="1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8"/>
      <c r="K481" s="47"/>
      <c r="L481" s="47"/>
      <c r="M481" s="47"/>
      <c r="N481" s="47"/>
      <c r="O481" s="47"/>
      <c r="P481" s="47"/>
      <c r="Q481" s="47"/>
      <c r="R481" s="47"/>
      <c r="S481" s="49"/>
      <c r="T481" s="49"/>
      <c r="U481" s="47"/>
      <c r="V481" s="50"/>
      <c r="W481" s="47"/>
      <c r="X481" s="47"/>
      <c r="Y481" s="47"/>
      <c r="Z481" s="49"/>
      <c r="AA481" s="49"/>
      <c r="AB481" s="20"/>
    </row>
    <row r="482" spans="1:28" ht="15.75" customHeight="1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8"/>
      <c r="K482" s="47"/>
      <c r="L482" s="47"/>
      <c r="M482" s="47"/>
      <c r="N482" s="47"/>
      <c r="O482" s="47"/>
      <c r="P482" s="47"/>
      <c r="Q482" s="47"/>
      <c r="R482" s="47"/>
      <c r="S482" s="49"/>
      <c r="T482" s="49"/>
      <c r="U482" s="47"/>
      <c r="V482" s="50"/>
      <c r="W482" s="47"/>
      <c r="X482" s="47"/>
      <c r="Y482" s="47"/>
      <c r="Z482" s="49"/>
      <c r="AA482" s="49"/>
      <c r="AB482" s="20"/>
    </row>
    <row r="483" spans="1:28" ht="15.75" customHeight="1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8"/>
      <c r="K483" s="47"/>
      <c r="L483" s="47"/>
      <c r="M483" s="47"/>
      <c r="N483" s="47"/>
      <c r="O483" s="47"/>
      <c r="P483" s="47"/>
      <c r="Q483" s="47"/>
      <c r="R483" s="47"/>
      <c r="S483" s="49"/>
      <c r="T483" s="49"/>
      <c r="U483" s="47"/>
      <c r="V483" s="50"/>
      <c r="W483" s="47"/>
      <c r="X483" s="47"/>
      <c r="Y483" s="47"/>
      <c r="Z483" s="49"/>
      <c r="AA483" s="49"/>
      <c r="AB483" s="20"/>
    </row>
    <row r="484" spans="1:28" ht="15.75" customHeight="1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8"/>
      <c r="K484" s="47"/>
      <c r="L484" s="47"/>
      <c r="M484" s="47"/>
      <c r="N484" s="47"/>
      <c r="O484" s="47"/>
      <c r="P484" s="47"/>
      <c r="Q484" s="47"/>
      <c r="R484" s="47"/>
      <c r="S484" s="49"/>
      <c r="T484" s="49"/>
      <c r="U484" s="47"/>
      <c r="V484" s="50"/>
      <c r="W484" s="47"/>
      <c r="X484" s="47"/>
      <c r="Y484" s="47"/>
      <c r="Z484" s="49"/>
      <c r="AA484" s="49"/>
      <c r="AB484" s="20"/>
    </row>
    <row r="485" spans="1:28" ht="15.75" customHeight="1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8"/>
      <c r="K485" s="47"/>
      <c r="L485" s="47"/>
      <c r="M485" s="47"/>
      <c r="N485" s="47"/>
      <c r="O485" s="47"/>
      <c r="P485" s="47"/>
      <c r="Q485" s="47"/>
      <c r="R485" s="47"/>
      <c r="S485" s="49"/>
      <c r="T485" s="49"/>
      <c r="U485" s="47"/>
      <c r="V485" s="50"/>
      <c r="W485" s="47"/>
      <c r="X485" s="47"/>
      <c r="Y485" s="47"/>
      <c r="Z485" s="49"/>
      <c r="AA485" s="49"/>
      <c r="AB485" s="20"/>
    </row>
    <row r="486" spans="1:28" ht="15.75" customHeight="1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8"/>
      <c r="K486" s="47"/>
      <c r="L486" s="47"/>
      <c r="M486" s="47"/>
      <c r="N486" s="47"/>
      <c r="O486" s="47"/>
      <c r="P486" s="47"/>
      <c r="Q486" s="47"/>
      <c r="R486" s="47"/>
      <c r="S486" s="49"/>
      <c r="T486" s="49"/>
      <c r="U486" s="47"/>
      <c r="V486" s="50"/>
      <c r="W486" s="47"/>
      <c r="X486" s="47"/>
      <c r="Y486" s="47"/>
      <c r="Z486" s="49"/>
      <c r="AA486" s="49"/>
      <c r="AB486" s="20"/>
    </row>
    <row r="487" spans="1:28" ht="15.75" customHeight="1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8"/>
      <c r="K487" s="47"/>
      <c r="L487" s="47"/>
      <c r="M487" s="47"/>
      <c r="N487" s="47"/>
      <c r="O487" s="47"/>
      <c r="P487" s="47"/>
      <c r="Q487" s="47"/>
      <c r="R487" s="47"/>
      <c r="S487" s="49"/>
      <c r="T487" s="49"/>
      <c r="U487" s="47"/>
      <c r="V487" s="50"/>
      <c r="W487" s="47"/>
      <c r="X487" s="47"/>
      <c r="Y487" s="47"/>
      <c r="Z487" s="49"/>
      <c r="AA487" s="49"/>
      <c r="AB487" s="20"/>
    </row>
    <row r="488" spans="1:28" ht="15.75" customHeight="1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8"/>
      <c r="K488" s="47"/>
      <c r="L488" s="47"/>
      <c r="M488" s="47"/>
      <c r="N488" s="47"/>
      <c r="O488" s="47"/>
      <c r="P488" s="47"/>
      <c r="Q488" s="47"/>
      <c r="R488" s="47"/>
      <c r="S488" s="49"/>
      <c r="T488" s="49"/>
      <c r="U488" s="47"/>
      <c r="V488" s="50"/>
      <c r="W488" s="47"/>
      <c r="X488" s="47"/>
      <c r="Y488" s="47"/>
      <c r="Z488" s="49"/>
      <c r="AA488" s="49"/>
      <c r="AB488" s="20"/>
    </row>
    <row r="489" spans="1:28" ht="15.75" customHeight="1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8"/>
      <c r="K489" s="47"/>
      <c r="L489" s="47"/>
      <c r="M489" s="47"/>
      <c r="N489" s="47"/>
      <c r="O489" s="47"/>
      <c r="P489" s="47"/>
      <c r="Q489" s="47"/>
      <c r="R489" s="47"/>
      <c r="S489" s="49"/>
      <c r="T489" s="49"/>
      <c r="U489" s="47"/>
      <c r="V489" s="50"/>
      <c r="W489" s="47"/>
      <c r="X489" s="47"/>
      <c r="Y489" s="47"/>
      <c r="Z489" s="49"/>
      <c r="AA489" s="49"/>
      <c r="AB489" s="20"/>
    </row>
    <row r="490" spans="1:28" ht="15.75" customHeight="1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8"/>
      <c r="K490" s="47"/>
      <c r="L490" s="47"/>
      <c r="M490" s="47"/>
      <c r="N490" s="47"/>
      <c r="O490" s="47"/>
      <c r="P490" s="47"/>
      <c r="Q490" s="47"/>
      <c r="R490" s="47"/>
      <c r="S490" s="49"/>
      <c r="T490" s="49"/>
      <c r="U490" s="47"/>
      <c r="V490" s="50"/>
      <c r="W490" s="47"/>
      <c r="X490" s="47"/>
      <c r="Y490" s="47"/>
      <c r="Z490" s="49"/>
      <c r="AA490" s="49"/>
      <c r="AB490" s="20"/>
    </row>
    <row r="491" spans="1:28" ht="15.75" customHeight="1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8"/>
      <c r="K491" s="47"/>
      <c r="L491" s="47"/>
      <c r="M491" s="47"/>
      <c r="N491" s="47"/>
      <c r="O491" s="47"/>
      <c r="P491" s="47"/>
      <c r="Q491" s="47"/>
      <c r="R491" s="47"/>
      <c r="S491" s="49"/>
      <c r="T491" s="49"/>
      <c r="U491" s="47"/>
      <c r="V491" s="50"/>
      <c r="W491" s="47"/>
      <c r="X491" s="47"/>
      <c r="Y491" s="47"/>
      <c r="Z491" s="49"/>
      <c r="AA491" s="49"/>
      <c r="AB491" s="20"/>
    </row>
    <row r="492" spans="1:28" ht="15.75" customHeight="1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8"/>
      <c r="K492" s="47"/>
      <c r="L492" s="47"/>
      <c r="M492" s="47"/>
      <c r="N492" s="47"/>
      <c r="O492" s="47"/>
      <c r="P492" s="47"/>
      <c r="Q492" s="47"/>
      <c r="R492" s="47"/>
      <c r="S492" s="49"/>
      <c r="T492" s="49"/>
      <c r="U492" s="47"/>
      <c r="V492" s="50"/>
      <c r="W492" s="47"/>
      <c r="X492" s="47"/>
      <c r="Y492" s="47"/>
      <c r="Z492" s="49"/>
      <c r="AA492" s="49"/>
      <c r="AB492" s="20"/>
    </row>
    <row r="493" spans="1:28" ht="15.75" customHeight="1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8"/>
      <c r="K493" s="47"/>
      <c r="L493" s="47"/>
      <c r="M493" s="47"/>
      <c r="N493" s="47"/>
      <c r="O493" s="47"/>
      <c r="P493" s="47"/>
      <c r="Q493" s="47"/>
      <c r="R493" s="47"/>
      <c r="S493" s="49"/>
      <c r="T493" s="49"/>
      <c r="U493" s="47"/>
      <c r="V493" s="50"/>
      <c r="W493" s="47"/>
      <c r="X493" s="47"/>
      <c r="Y493" s="47"/>
      <c r="Z493" s="49"/>
      <c r="AA493" s="49"/>
      <c r="AB493" s="20"/>
    </row>
    <row r="494" spans="1:28" ht="15.75" customHeight="1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8"/>
      <c r="K494" s="47"/>
      <c r="L494" s="47"/>
      <c r="M494" s="47"/>
      <c r="N494" s="47"/>
      <c r="O494" s="47"/>
      <c r="P494" s="47"/>
      <c r="Q494" s="47"/>
      <c r="R494" s="47"/>
      <c r="S494" s="49"/>
      <c r="T494" s="49"/>
      <c r="U494" s="47"/>
      <c r="V494" s="50"/>
      <c r="W494" s="47"/>
      <c r="X494" s="47"/>
      <c r="Y494" s="47"/>
      <c r="Z494" s="49"/>
      <c r="AA494" s="49"/>
      <c r="AB494" s="20"/>
    </row>
    <row r="495" spans="1:28" ht="15.75" customHeight="1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8"/>
      <c r="K495" s="47"/>
      <c r="L495" s="47"/>
      <c r="M495" s="47"/>
      <c r="N495" s="47"/>
      <c r="O495" s="47"/>
      <c r="P495" s="47"/>
      <c r="Q495" s="47"/>
      <c r="R495" s="47"/>
      <c r="S495" s="49"/>
      <c r="T495" s="49"/>
      <c r="U495" s="47"/>
      <c r="V495" s="50"/>
      <c r="W495" s="47"/>
      <c r="X495" s="47"/>
      <c r="Y495" s="47"/>
      <c r="Z495" s="49"/>
      <c r="AA495" s="49"/>
      <c r="AB495" s="20"/>
    </row>
    <row r="496" spans="1:28" ht="15.75" customHeight="1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8"/>
      <c r="K496" s="47"/>
      <c r="L496" s="47"/>
      <c r="M496" s="47"/>
      <c r="N496" s="47"/>
      <c r="O496" s="47"/>
      <c r="P496" s="47"/>
      <c r="Q496" s="47"/>
      <c r="R496" s="47"/>
      <c r="S496" s="49"/>
      <c r="T496" s="49"/>
      <c r="U496" s="47"/>
      <c r="V496" s="50"/>
      <c r="W496" s="47"/>
      <c r="X496" s="47"/>
      <c r="Y496" s="47"/>
      <c r="Z496" s="49"/>
      <c r="AA496" s="49"/>
      <c r="AB496" s="20"/>
    </row>
    <row r="497" spans="1:28" ht="15.75" customHeight="1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8"/>
      <c r="K497" s="47"/>
      <c r="L497" s="47"/>
      <c r="M497" s="47"/>
      <c r="N497" s="47"/>
      <c r="O497" s="47"/>
      <c r="P497" s="47"/>
      <c r="Q497" s="47"/>
      <c r="R497" s="47"/>
      <c r="S497" s="49"/>
      <c r="T497" s="49"/>
      <c r="U497" s="47"/>
      <c r="V497" s="50"/>
      <c r="W497" s="47"/>
      <c r="X497" s="47"/>
      <c r="Y497" s="47"/>
      <c r="Z497" s="49"/>
      <c r="AA497" s="49"/>
      <c r="AB497" s="20"/>
    </row>
    <row r="498" spans="1:28" ht="15.75" customHeight="1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8"/>
      <c r="K498" s="47"/>
      <c r="L498" s="47"/>
      <c r="M498" s="47"/>
      <c r="N498" s="47"/>
      <c r="O498" s="47"/>
      <c r="P498" s="47"/>
      <c r="Q498" s="47"/>
      <c r="R498" s="47"/>
      <c r="S498" s="49"/>
      <c r="T498" s="49"/>
      <c r="U498" s="47"/>
      <c r="V498" s="50"/>
      <c r="W498" s="47"/>
      <c r="X498" s="47"/>
      <c r="Y498" s="47"/>
      <c r="Z498" s="49"/>
      <c r="AA498" s="49"/>
      <c r="AB498" s="20"/>
    </row>
    <row r="499" spans="1:28" ht="15.75" customHeight="1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8"/>
      <c r="K499" s="47"/>
      <c r="L499" s="47"/>
      <c r="M499" s="47"/>
      <c r="N499" s="47"/>
      <c r="O499" s="47"/>
      <c r="P499" s="47"/>
      <c r="Q499" s="47"/>
      <c r="R499" s="47"/>
      <c r="S499" s="49"/>
      <c r="T499" s="49"/>
      <c r="U499" s="47"/>
      <c r="V499" s="50"/>
      <c r="W499" s="47"/>
      <c r="X499" s="47"/>
      <c r="Y499" s="47"/>
      <c r="Z499" s="49"/>
      <c r="AA499" s="49"/>
      <c r="AB499" s="20"/>
    </row>
    <row r="500" spans="1:28" ht="15.75" customHeight="1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8"/>
      <c r="K500" s="47"/>
      <c r="L500" s="47"/>
      <c r="M500" s="47"/>
      <c r="N500" s="47"/>
      <c r="O500" s="47"/>
      <c r="P500" s="47"/>
      <c r="Q500" s="47"/>
      <c r="R500" s="47"/>
      <c r="S500" s="49"/>
      <c r="T500" s="49"/>
      <c r="U500" s="47"/>
      <c r="V500" s="50"/>
      <c r="W500" s="47"/>
      <c r="X500" s="47"/>
      <c r="Y500" s="47"/>
      <c r="Z500" s="49"/>
      <c r="AA500" s="49"/>
      <c r="AB500" s="20"/>
    </row>
    <row r="501" spans="1:28" ht="15.75" customHeight="1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8"/>
      <c r="K501" s="47"/>
      <c r="L501" s="47"/>
      <c r="M501" s="47"/>
      <c r="N501" s="47"/>
      <c r="O501" s="47"/>
      <c r="P501" s="47"/>
      <c r="Q501" s="47"/>
      <c r="R501" s="47"/>
      <c r="S501" s="49"/>
      <c r="T501" s="49"/>
      <c r="U501" s="47"/>
      <c r="V501" s="50"/>
      <c r="W501" s="47"/>
      <c r="X501" s="47"/>
      <c r="Y501" s="47"/>
      <c r="Z501" s="49"/>
      <c r="AA501" s="49"/>
      <c r="AB501" s="20"/>
    </row>
    <row r="502" spans="1:28" ht="15.75" customHeight="1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8"/>
      <c r="K502" s="47"/>
      <c r="L502" s="47"/>
      <c r="M502" s="47"/>
      <c r="N502" s="47"/>
      <c r="O502" s="47"/>
      <c r="P502" s="47"/>
      <c r="Q502" s="47"/>
      <c r="R502" s="47"/>
      <c r="S502" s="49"/>
      <c r="T502" s="49"/>
      <c r="U502" s="47"/>
      <c r="V502" s="50"/>
      <c r="W502" s="47"/>
      <c r="X502" s="47"/>
      <c r="Y502" s="47"/>
      <c r="Z502" s="49"/>
      <c r="AA502" s="49"/>
      <c r="AB502" s="20"/>
    </row>
    <row r="503" spans="1:28" ht="15.75" customHeight="1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8"/>
      <c r="K503" s="47"/>
      <c r="L503" s="47"/>
      <c r="M503" s="47"/>
      <c r="N503" s="47"/>
      <c r="O503" s="47"/>
      <c r="P503" s="47"/>
      <c r="Q503" s="47"/>
      <c r="R503" s="47"/>
      <c r="S503" s="49"/>
      <c r="T503" s="49"/>
      <c r="U503" s="47"/>
      <c r="V503" s="50"/>
      <c r="W503" s="47"/>
      <c r="X503" s="47"/>
      <c r="Y503" s="47"/>
      <c r="Z503" s="49"/>
      <c r="AA503" s="49"/>
      <c r="AB503" s="20"/>
    </row>
    <row r="504" spans="1:28" ht="15.75" customHeight="1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8"/>
      <c r="K504" s="47"/>
      <c r="L504" s="47"/>
      <c r="M504" s="47"/>
      <c r="N504" s="47"/>
      <c r="O504" s="47"/>
      <c r="P504" s="47"/>
      <c r="Q504" s="47"/>
      <c r="R504" s="47"/>
      <c r="S504" s="49"/>
      <c r="T504" s="49"/>
      <c r="U504" s="47"/>
      <c r="V504" s="50"/>
      <c r="W504" s="47"/>
      <c r="X504" s="47"/>
      <c r="Y504" s="47"/>
      <c r="Z504" s="49"/>
      <c r="AA504" s="49"/>
      <c r="AB504" s="20"/>
    </row>
    <row r="505" spans="1:28" ht="15.75" customHeight="1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8"/>
      <c r="K505" s="47"/>
      <c r="L505" s="47"/>
      <c r="M505" s="47"/>
      <c r="N505" s="47"/>
      <c r="O505" s="47"/>
      <c r="P505" s="47"/>
      <c r="Q505" s="47"/>
      <c r="R505" s="47"/>
      <c r="S505" s="49"/>
      <c r="T505" s="49"/>
      <c r="U505" s="47"/>
      <c r="V505" s="50"/>
      <c r="W505" s="47"/>
      <c r="X505" s="47"/>
      <c r="Y505" s="47"/>
      <c r="Z505" s="49"/>
      <c r="AA505" s="49"/>
      <c r="AB505" s="20"/>
    </row>
    <row r="506" spans="1:28" ht="15.75" customHeight="1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8"/>
      <c r="K506" s="47"/>
      <c r="L506" s="47"/>
      <c r="M506" s="47"/>
      <c r="N506" s="47"/>
      <c r="O506" s="47"/>
      <c r="P506" s="47"/>
      <c r="Q506" s="47"/>
      <c r="R506" s="47"/>
      <c r="S506" s="49"/>
      <c r="T506" s="49"/>
      <c r="U506" s="47"/>
      <c r="V506" s="50"/>
      <c r="W506" s="47"/>
      <c r="X506" s="47"/>
      <c r="Y506" s="47"/>
      <c r="Z506" s="49"/>
      <c r="AA506" s="49"/>
      <c r="AB506" s="20"/>
    </row>
    <row r="507" spans="1:28" ht="15.75" customHeight="1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8"/>
      <c r="K507" s="47"/>
      <c r="L507" s="47"/>
      <c r="M507" s="47"/>
      <c r="N507" s="47"/>
      <c r="O507" s="47"/>
      <c r="P507" s="47"/>
      <c r="Q507" s="47"/>
      <c r="R507" s="47"/>
      <c r="S507" s="49"/>
      <c r="T507" s="49"/>
      <c r="U507" s="47"/>
      <c r="V507" s="50"/>
      <c r="W507" s="47"/>
      <c r="X507" s="47"/>
      <c r="Y507" s="47"/>
      <c r="Z507" s="49"/>
      <c r="AA507" s="49"/>
      <c r="AB507" s="20"/>
    </row>
    <row r="508" spans="1:28" ht="15.75" customHeight="1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8"/>
      <c r="K508" s="47"/>
      <c r="L508" s="47"/>
      <c r="M508" s="47"/>
      <c r="N508" s="47"/>
      <c r="O508" s="47"/>
      <c r="P508" s="47"/>
      <c r="Q508" s="47"/>
      <c r="R508" s="47"/>
      <c r="S508" s="49"/>
      <c r="T508" s="49"/>
      <c r="U508" s="47"/>
      <c r="V508" s="50"/>
      <c r="W508" s="47"/>
      <c r="X508" s="47"/>
      <c r="Y508" s="47"/>
      <c r="Z508" s="49"/>
      <c r="AA508" s="49"/>
      <c r="AB508" s="20"/>
    </row>
    <row r="509" spans="1:28" ht="15.75" customHeight="1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8"/>
      <c r="K509" s="47"/>
      <c r="L509" s="47"/>
      <c r="M509" s="47"/>
      <c r="N509" s="47"/>
      <c r="O509" s="47"/>
      <c r="P509" s="47"/>
      <c r="Q509" s="47"/>
      <c r="R509" s="47"/>
      <c r="S509" s="49"/>
      <c r="T509" s="49"/>
      <c r="U509" s="47"/>
      <c r="V509" s="50"/>
      <c r="W509" s="47"/>
      <c r="X509" s="47"/>
      <c r="Y509" s="47"/>
      <c r="Z509" s="49"/>
      <c r="AA509" s="49"/>
      <c r="AB509" s="20"/>
    </row>
    <row r="510" spans="1:28" ht="15.75" customHeight="1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8"/>
      <c r="K510" s="47"/>
      <c r="L510" s="47"/>
      <c r="M510" s="47"/>
      <c r="N510" s="47"/>
      <c r="O510" s="47"/>
      <c r="P510" s="47"/>
      <c r="Q510" s="47"/>
      <c r="R510" s="47"/>
      <c r="S510" s="49"/>
      <c r="T510" s="49"/>
      <c r="U510" s="47"/>
      <c r="V510" s="50"/>
      <c r="W510" s="47"/>
      <c r="X510" s="47"/>
      <c r="Y510" s="47"/>
      <c r="Z510" s="49"/>
      <c r="AA510" s="49"/>
      <c r="AB510" s="20"/>
    </row>
    <row r="511" spans="1:28" ht="15.75" customHeight="1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8"/>
      <c r="K511" s="47"/>
      <c r="L511" s="47"/>
      <c r="M511" s="47"/>
      <c r="N511" s="47"/>
      <c r="O511" s="47"/>
      <c r="P511" s="47"/>
      <c r="Q511" s="47"/>
      <c r="R511" s="47"/>
      <c r="S511" s="49"/>
      <c r="T511" s="49"/>
      <c r="U511" s="47"/>
      <c r="V511" s="50"/>
      <c r="W511" s="47"/>
      <c r="X511" s="47"/>
      <c r="Y511" s="47"/>
      <c r="Z511" s="49"/>
      <c r="AA511" s="49"/>
      <c r="AB511" s="20"/>
    </row>
    <row r="512" spans="1:28" ht="15.75" customHeight="1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8"/>
      <c r="K512" s="47"/>
      <c r="L512" s="47"/>
      <c r="M512" s="47"/>
      <c r="N512" s="47"/>
      <c r="O512" s="47"/>
      <c r="P512" s="47"/>
      <c r="Q512" s="47"/>
      <c r="R512" s="47"/>
      <c r="S512" s="49"/>
      <c r="T512" s="49"/>
      <c r="U512" s="47"/>
      <c r="V512" s="50"/>
      <c r="W512" s="47"/>
      <c r="X512" s="47"/>
      <c r="Y512" s="47"/>
      <c r="Z512" s="49"/>
      <c r="AA512" s="49"/>
      <c r="AB512" s="20"/>
    </row>
    <row r="513" spans="1:28" ht="15.75" customHeight="1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8"/>
      <c r="K513" s="47"/>
      <c r="L513" s="47"/>
      <c r="M513" s="47"/>
      <c r="N513" s="47"/>
      <c r="O513" s="47"/>
      <c r="P513" s="47"/>
      <c r="Q513" s="47"/>
      <c r="R513" s="47"/>
      <c r="S513" s="49"/>
      <c r="T513" s="49"/>
      <c r="U513" s="47"/>
      <c r="V513" s="50"/>
      <c r="W513" s="47"/>
      <c r="X513" s="47"/>
      <c r="Y513" s="47"/>
      <c r="Z513" s="49"/>
      <c r="AA513" s="49"/>
      <c r="AB513" s="20"/>
    </row>
    <row r="514" spans="1:28" ht="15.75" customHeight="1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8"/>
      <c r="K514" s="47"/>
      <c r="L514" s="47"/>
      <c r="M514" s="47"/>
      <c r="N514" s="47"/>
      <c r="O514" s="47"/>
      <c r="P514" s="47"/>
      <c r="Q514" s="47"/>
      <c r="R514" s="47"/>
      <c r="S514" s="49"/>
      <c r="T514" s="49"/>
      <c r="U514" s="47"/>
      <c r="V514" s="50"/>
      <c r="W514" s="47"/>
      <c r="X514" s="47"/>
      <c r="Y514" s="47"/>
      <c r="Z514" s="49"/>
      <c r="AA514" s="49"/>
      <c r="AB514" s="20"/>
    </row>
    <row r="515" spans="1:28" ht="15.75" customHeight="1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8"/>
      <c r="K515" s="47"/>
      <c r="L515" s="47"/>
      <c r="M515" s="47"/>
      <c r="N515" s="47"/>
      <c r="O515" s="47"/>
      <c r="P515" s="47"/>
      <c r="Q515" s="47"/>
      <c r="R515" s="47"/>
      <c r="S515" s="49"/>
      <c r="T515" s="49"/>
      <c r="U515" s="47"/>
      <c r="V515" s="50"/>
      <c r="W515" s="47"/>
      <c r="X515" s="47"/>
      <c r="Y515" s="47"/>
      <c r="Z515" s="49"/>
      <c r="AA515" s="49"/>
      <c r="AB515" s="20"/>
    </row>
    <row r="516" spans="1:28" ht="15.75" customHeight="1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8"/>
      <c r="K516" s="47"/>
      <c r="L516" s="47"/>
      <c r="M516" s="47"/>
      <c r="N516" s="47"/>
      <c r="O516" s="47"/>
      <c r="P516" s="47"/>
      <c r="Q516" s="47"/>
      <c r="R516" s="47"/>
      <c r="S516" s="49"/>
      <c r="T516" s="49"/>
      <c r="U516" s="47"/>
      <c r="V516" s="50"/>
      <c r="W516" s="47"/>
      <c r="X516" s="47"/>
      <c r="Y516" s="47"/>
      <c r="Z516" s="49"/>
      <c r="AA516" s="49"/>
      <c r="AB516" s="20"/>
    </row>
    <row r="517" spans="1:28" ht="15.75" customHeight="1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8"/>
      <c r="K517" s="47"/>
      <c r="L517" s="47"/>
      <c r="M517" s="47"/>
      <c r="N517" s="47"/>
      <c r="O517" s="47"/>
      <c r="P517" s="47"/>
      <c r="Q517" s="47"/>
      <c r="R517" s="47"/>
      <c r="S517" s="49"/>
      <c r="T517" s="49"/>
      <c r="U517" s="47"/>
      <c r="V517" s="50"/>
      <c r="W517" s="47"/>
      <c r="X517" s="47"/>
      <c r="Y517" s="47"/>
      <c r="Z517" s="49"/>
      <c r="AA517" s="49"/>
      <c r="AB517" s="20"/>
    </row>
    <row r="518" spans="1:28" ht="15.75" customHeight="1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8"/>
      <c r="K518" s="47"/>
      <c r="L518" s="47"/>
      <c r="M518" s="47"/>
      <c r="N518" s="47"/>
      <c r="O518" s="47"/>
      <c r="P518" s="47"/>
      <c r="Q518" s="47"/>
      <c r="R518" s="47"/>
      <c r="S518" s="49"/>
      <c r="T518" s="49"/>
      <c r="U518" s="47"/>
      <c r="V518" s="50"/>
      <c r="W518" s="47"/>
      <c r="X518" s="47"/>
      <c r="Y518" s="47"/>
      <c r="Z518" s="49"/>
      <c r="AA518" s="49"/>
      <c r="AB518" s="20"/>
    </row>
    <row r="519" spans="1:28" ht="15.75" customHeight="1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8"/>
      <c r="K519" s="47"/>
      <c r="L519" s="47"/>
      <c r="M519" s="47"/>
      <c r="N519" s="47"/>
      <c r="O519" s="47"/>
      <c r="P519" s="47"/>
      <c r="Q519" s="47"/>
      <c r="R519" s="47"/>
      <c r="S519" s="49"/>
      <c r="T519" s="49"/>
      <c r="U519" s="47"/>
      <c r="V519" s="50"/>
      <c r="W519" s="47"/>
      <c r="X519" s="47"/>
      <c r="Y519" s="47"/>
      <c r="Z519" s="49"/>
      <c r="AA519" s="49"/>
      <c r="AB519" s="20"/>
    </row>
    <row r="520" spans="1:28" ht="15.75" customHeight="1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8"/>
      <c r="K520" s="47"/>
      <c r="L520" s="47"/>
      <c r="M520" s="47"/>
      <c r="N520" s="47"/>
      <c r="O520" s="47"/>
      <c r="P520" s="47"/>
      <c r="Q520" s="47"/>
      <c r="R520" s="47"/>
      <c r="S520" s="49"/>
      <c r="T520" s="49"/>
      <c r="U520" s="47"/>
      <c r="V520" s="50"/>
      <c r="W520" s="47"/>
      <c r="X520" s="47"/>
      <c r="Y520" s="47"/>
      <c r="Z520" s="49"/>
      <c r="AA520" s="49"/>
      <c r="AB520" s="20"/>
    </row>
    <row r="521" spans="1:28" ht="15.75" customHeight="1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8"/>
      <c r="K521" s="47"/>
      <c r="L521" s="47"/>
      <c r="M521" s="47"/>
      <c r="N521" s="47"/>
      <c r="O521" s="47"/>
      <c r="P521" s="47"/>
      <c r="Q521" s="47"/>
      <c r="R521" s="47"/>
      <c r="S521" s="49"/>
      <c r="T521" s="49"/>
      <c r="U521" s="47"/>
      <c r="V521" s="50"/>
      <c r="W521" s="47"/>
      <c r="X521" s="47"/>
      <c r="Y521" s="47"/>
      <c r="Z521" s="49"/>
      <c r="AA521" s="49"/>
      <c r="AB521" s="20"/>
    </row>
    <row r="522" spans="1:28" ht="15.75" customHeight="1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8"/>
      <c r="K522" s="47"/>
      <c r="L522" s="47"/>
      <c r="M522" s="47"/>
      <c r="N522" s="47"/>
      <c r="O522" s="47"/>
      <c r="P522" s="47"/>
      <c r="Q522" s="47"/>
      <c r="R522" s="47"/>
      <c r="S522" s="49"/>
      <c r="T522" s="49"/>
      <c r="U522" s="47"/>
      <c r="V522" s="50"/>
      <c r="W522" s="47"/>
      <c r="X522" s="47"/>
      <c r="Y522" s="47"/>
      <c r="Z522" s="49"/>
      <c r="AA522" s="49"/>
      <c r="AB522" s="20"/>
    </row>
    <row r="523" spans="1:28" ht="15.75" customHeight="1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8"/>
      <c r="K523" s="47"/>
      <c r="L523" s="47"/>
      <c r="M523" s="47"/>
      <c r="N523" s="47"/>
      <c r="O523" s="47"/>
      <c r="P523" s="47"/>
      <c r="Q523" s="47"/>
      <c r="R523" s="47"/>
      <c r="S523" s="49"/>
      <c r="T523" s="49"/>
      <c r="U523" s="47"/>
      <c r="V523" s="50"/>
      <c r="W523" s="47"/>
      <c r="X523" s="47"/>
      <c r="Y523" s="47"/>
      <c r="Z523" s="49"/>
      <c r="AA523" s="49"/>
      <c r="AB523" s="20"/>
    </row>
    <row r="524" spans="1:28" ht="15.75" customHeight="1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8"/>
      <c r="K524" s="47"/>
      <c r="L524" s="47"/>
      <c r="M524" s="47"/>
      <c r="N524" s="47"/>
      <c r="O524" s="47"/>
      <c r="P524" s="47"/>
      <c r="Q524" s="47"/>
      <c r="R524" s="47"/>
      <c r="S524" s="49"/>
      <c r="T524" s="49"/>
      <c r="U524" s="47"/>
      <c r="V524" s="50"/>
      <c r="W524" s="47"/>
      <c r="X524" s="47"/>
      <c r="Y524" s="47"/>
      <c r="Z524" s="49"/>
      <c r="AA524" s="49"/>
      <c r="AB524" s="20"/>
    </row>
    <row r="525" spans="1:28" ht="15.75" customHeight="1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8"/>
      <c r="K525" s="47"/>
      <c r="L525" s="47"/>
      <c r="M525" s="47"/>
      <c r="N525" s="47"/>
      <c r="O525" s="47"/>
      <c r="P525" s="47"/>
      <c r="Q525" s="47"/>
      <c r="R525" s="47"/>
      <c r="S525" s="49"/>
      <c r="T525" s="49"/>
      <c r="U525" s="47"/>
      <c r="V525" s="50"/>
      <c r="W525" s="47"/>
      <c r="X525" s="47"/>
      <c r="Y525" s="47"/>
      <c r="Z525" s="49"/>
      <c r="AA525" s="49"/>
      <c r="AB525" s="20"/>
    </row>
    <row r="526" spans="1:28" ht="15.75" customHeight="1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8"/>
      <c r="K526" s="47"/>
      <c r="L526" s="47"/>
      <c r="M526" s="47"/>
      <c r="N526" s="47"/>
      <c r="O526" s="47"/>
      <c r="P526" s="47"/>
      <c r="Q526" s="47"/>
      <c r="R526" s="47"/>
      <c r="S526" s="49"/>
      <c r="T526" s="49"/>
      <c r="U526" s="47"/>
      <c r="V526" s="50"/>
      <c r="W526" s="47"/>
      <c r="X526" s="47"/>
      <c r="Y526" s="47"/>
      <c r="Z526" s="49"/>
      <c r="AA526" s="49"/>
      <c r="AB526" s="20"/>
    </row>
    <row r="527" spans="1:28" ht="15.75" customHeight="1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8"/>
      <c r="K527" s="47"/>
      <c r="L527" s="47"/>
      <c r="M527" s="47"/>
      <c r="N527" s="47"/>
      <c r="O527" s="47"/>
      <c r="P527" s="47"/>
      <c r="Q527" s="47"/>
      <c r="R527" s="47"/>
      <c r="S527" s="49"/>
      <c r="T527" s="49"/>
      <c r="U527" s="47"/>
      <c r="V527" s="50"/>
      <c r="W527" s="47"/>
      <c r="X527" s="47"/>
      <c r="Y527" s="47"/>
      <c r="Z527" s="49"/>
      <c r="AA527" s="49"/>
      <c r="AB527" s="20"/>
    </row>
    <row r="528" spans="1:28" ht="15.75" customHeight="1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8"/>
      <c r="K528" s="47"/>
      <c r="L528" s="47"/>
      <c r="M528" s="47"/>
      <c r="N528" s="47"/>
      <c r="O528" s="47"/>
      <c r="P528" s="47"/>
      <c r="Q528" s="47"/>
      <c r="R528" s="47"/>
      <c r="S528" s="49"/>
      <c r="T528" s="49"/>
      <c r="U528" s="47"/>
      <c r="V528" s="50"/>
      <c r="W528" s="47"/>
      <c r="X528" s="47"/>
      <c r="Y528" s="47"/>
      <c r="Z528" s="49"/>
      <c r="AA528" s="49"/>
      <c r="AB528" s="20"/>
    </row>
    <row r="529" spans="1:28" ht="15.75" customHeight="1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8"/>
      <c r="K529" s="47"/>
      <c r="L529" s="47"/>
      <c r="M529" s="47"/>
      <c r="N529" s="47"/>
      <c r="O529" s="47"/>
      <c r="P529" s="47"/>
      <c r="Q529" s="47"/>
      <c r="R529" s="47"/>
      <c r="S529" s="49"/>
      <c r="T529" s="49"/>
      <c r="U529" s="47"/>
      <c r="V529" s="50"/>
      <c r="W529" s="47"/>
      <c r="X529" s="47"/>
      <c r="Y529" s="47"/>
      <c r="Z529" s="49"/>
      <c r="AA529" s="49"/>
      <c r="AB529" s="20"/>
    </row>
    <row r="530" spans="1:28" ht="15.75" customHeight="1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8"/>
      <c r="K530" s="47"/>
      <c r="L530" s="47"/>
      <c r="M530" s="47"/>
      <c r="N530" s="47"/>
      <c r="O530" s="47"/>
      <c r="P530" s="47"/>
      <c r="Q530" s="47"/>
      <c r="R530" s="47"/>
      <c r="S530" s="49"/>
      <c r="T530" s="49"/>
      <c r="U530" s="47"/>
      <c r="V530" s="50"/>
      <c r="W530" s="47"/>
      <c r="X530" s="47"/>
      <c r="Y530" s="47"/>
      <c r="Z530" s="49"/>
      <c r="AA530" s="49"/>
      <c r="AB530" s="20"/>
    </row>
    <row r="531" spans="1:28" ht="15.75" customHeight="1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8"/>
      <c r="K531" s="47"/>
      <c r="L531" s="47"/>
      <c r="M531" s="47"/>
      <c r="N531" s="47"/>
      <c r="O531" s="47"/>
      <c r="P531" s="47"/>
      <c r="Q531" s="47"/>
      <c r="R531" s="47"/>
      <c r="S531" s="49"/>
      <c r="T531" s="49"/>
      <c r="U531" s="47"/>
      <c r="V531" s="50"/>
      <c r="W531" s="47"/>
      <c r="X531" s="47"/>
      <c r="Y531" s="47"/>
      <c r="Z531" s="49"/>
      <c r="AA531" s="49"/>
      <c r="AB531" s="20"/>
    </row>
    <row r="532" spans="1:28" ht="15.75" customHeight="1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8"/>
      <c r="K532" s="47"/>
      <c r="L532" s="47"/>
      <c r="M532" s="47"/>
      <c r="N532" s="47"/>
      <c r="O532" s="47"/>
      <c r="P532" s="47"/>
      <c r="Q532" s="47"/>
      <c r="R532" s="47"/>
      <c r="S532" s="49"/>
      <c r="T532" s="49"/>
      <c r="U532" s="47"/>
      <c r="V532" s="50"/>
      <c r="W532" s="47"/>
      <c r="X532" s="47"/>
      <c r="Y532" s="47"/>
      <c r="Z532" s="49"/>
      <c r="AA532" s="49"/>
      <c r="AB532" s="20"/>
    </row>
    <row r="533" spans="1:28" ht="15.75" customHeight="1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8"/>
      <c r="K533" s="47"/>
      <c r="L533" s="47"/>
      <c r="M533" s="47"/>
      <c r="N533" s="47"/>
      <c r="O533" s="47"/>
      <c r="P533" s="47"/>
      <c r="Q533" s="47"/>
      <c r="R533" s="47"/>
      <c r="S533" s="49"/>
      <c r="T533" s="49"/>
      <c r="U533" s="47"/>
      <c r="V533" s="50"/>
      <c r="W533" s="47"/>
      <c r="X533" s="47"/>
      <c r="Y533" s="47"/>
      <c r="Z533" s="49"/>
      <c r="AA533" s="49"/>
      <c r="AB533" s="20"/>
    </row>
    <row r="534" spans="1:28" ht="15.75" customHeight="1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8"/>
      <c r="K534" s="47"/>
      <c r="L534" s="47"/>
      <c r="M534" s="47"/>
      <c r="N534" s="47"/>
      <c r="O534" s="47"/>
      <c r="P534" s="47"/>
      <c r="Q534" s="47"/>
      <c r="R534" s="47"/>
      <c r="S534" s="49"/>
      <c r="T534" s="49"/>
      <c r="U534" s="47"/>
      <c r="V534" s="50"/>
      <c r="W534" s="47"/>
      <c r="X534" s="47"/>
      <c r="Y534" s="47"/>
      <c r="Z534" s="49"/>
      <c r="AA534" s="49"/>
      <c r="AB534" s="20"/>
    </row>
    <row r="535" spans="1:28" ht="15.75" customHeight="1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8"/>
      <c r="K535" s="47"/>
      <c r="L535" s="47"/>
      <c r="M535" s="47"/>
      <c r="N535" s="47"/>
      <c r="O535" s="47"/>
      <c r="P535" s="47"/>
      <c r="Q535" s="47"/>
      <c r="R535" s="47"/>
      <c r="S535" s="49"/>
      <c r="T535" s="49"/>
      <c r="U535" s="47"/>
      <c r="V535" s="50"/>
      <c r="W535" s="47"/>
      <c r="X535" s="47"/>
      <c r="Y535" s="47"/>
      <c r="Z535" s="49"/>
      <c r="AA535" s="49"/>
      <c r="AB535" s="20"/>
    </row>
    <row r="536" spans="1:28" ht="15.75" customHeight="1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8"/>
      <c r="K536" s="47"/>
      <c r="L536" s="47"/>
      <c r="M536" s="47"/>
      <c r="N536" s="47"/>
      <c r="O536" s="47"/>
      <c r="P536" s="47"/>
      <c r="Q536" s="47"/>
      <c r="R536" s="47"/>
      <c r="S536" s="49"/>
      <c r="T536" s="49"/>
      <c r="U536" s="47"/>
      <c r="V536" s="50"/>
      <c r="W536" s="47"/>
      <c r="X536" s="47"/>
      <c r="Y536" s="47"/>
      <c r="Z536" s="49"/>
      <c r="AA536" s="49"/>
      <c r="AB536" s="20"/>
    </row>
    <row r="537" spans="1:28" ht="15.75" customHeight="1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8"/>
      <c r="K537" s="47"/>
      <c r="L537" s="47"/>
      <c r="M537" s="47"/>
      <c r="N537" s="47"/>
      <c r="O537" s="47"/>
      <c r="P537" s="47"/>
      <c r="Q537" s="47"/>
      <c r="R537" s="47"/>
      <c r="S537" s="49"/>
      <c r="T537" s="49"/>
      <c r="U537" s="47"/>
      <c r="V537" s="50"/>
      <c r="W537" s="47"/>
      <c r="X537" s="47"/>
      <c r="Y537" s="47"/>
      <c r="Z537" s="49"/>
      <c r="AA537" s="49"/>
      <c r="AB537" s="20"/>
    </row>
    <row r="538" spans="1:28" ht="15.75" customHeight="1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8"/>
      <c r="K538" s="47"/>
      <c r="L538" s="47"/>
      <c r="M538" s="47"/>
      <c r="N538" s="47"/>
      <c r="O538" s="47"/>
      <c r="P538" s="47"/>
      <c r="Q538" s="47"/>
      <c r="R538" s="47"/>
      <c r="S538" s="49"/>
      <c r="T538" s="49"/>
      <c r="U538" s="47"/>
      <c r="V538" s="50"/>
      <c r="W538" s="47"/>
      <c r="X538" s="47"/>
      <c r="Y538" s="47"/>
      <c r="Z538" s="49"/>
      <c r="AA538" s="49"/>
      <c r="AB538" s="20"/>
    </row>
    <row r="539" spans="1:28" ht="15.75" customHeight="1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8"/>
      <c r="K539" s="47"/>
      <c r="L539" s="47"/>
      <c r="M539" s="47"/>
      <c r="N539" s="47"/>
      <c r="O539" s="47"/>
      <c r="P539" s="47"/>
      <c r="Q539" s="47"/>
      <c r="R539" s="47"/>
      <c r="S539" s="49"/>
      <c r="T539" s="49"/>
      <c r="U539" s="47"/>
      <c r="V539" s="50"/>
      <c r="W539" s="47"/>
      <c r="X539" s="47"/>
      <c r="Y539" s="47"/>
      <c r="Z539" s="49"/>
      <c r="AA539" s="49"/>
      <c r="AB539" s="20"/>
    </row>
    <row r="540" spans="1:28" ht="15.75" customHeight="1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8"/>
      <c r="K540" s="47"/>
      <c r="L540" s="47"/>
      <c r="M540" s="47"/>
      <c r="N540" s="47"/>
      <c r="O540" s="47"/>
      <c r="P540" s="47"/>
      <c r="Q540" s="47"/>
      <c r="R540" s="47"/>
      <c r="S540" s="49"/>
      <c r="T540" s="49"/>
      <c r="U540" s="47"/>
      <c r="V540" s="50"/>
      <c r="W540" s="47"/>
      <c r="X540" s="47"/>
      <c r="Y540" s="47"/>
      <c r="Z540" s="49"/>
      <c r="AA540" s="49"/>
      <c r="AB540" s="20"/>
    </row>
    <row r="541" spans="1:28" ht="15.75" customHeight="1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8"/>
      <c r="K541" s="47"/>
      <c r="L541" s="47"/>
      <c r="M541" s="47"/>
      <c r="N541" s="47"/>
      <c r="O541" s="47"/>
      <c r="P541" s="47"/>
      <c r="Q541" s="47"/>
      <c r="R541" s="47"/>
      <c r="S541" s="49"/>
      <c r="T541" s="49"/>
      <c r="U541" s="47"/>
      <c r="V541" s="50"/>
      <c r="W541" s="47"/>
      <c r="X541" s="47"/>
      <c r="Y541" s="47"/>
      <c r="Z541" s="49"/>
      <c r="AA541" s="49"/>
      <c r="AB541" s="20"/>
    </row>
    <row r="542" spans="1:28" ht="15.75" customHeight="1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8"/>
      <c r="K542" s="47"/>
      <c r="L542" s="47"/>
      <c r="M542" s="47"/>
      <c r="N542" s="47"/>
      <c r="O542" s="47"/>
      <c r="P542" s="47"/>
      <c r="Q542" s="47"/>
      <c r="R542" s="47"/>
      <c r="S542" s="49"/>
      <c r="T542" s="49"/>
      <c r="U542" s="47"/>
      <c r="V542" s="50"/>
      <c r="W542" s="47"/>
      <c r="X542" s="47"/>
      <c r="Y542" s="47"/>
      <c r="Z542" s="49"/>
      <c r="AA542" s="49"/>
      <c r="AB542" s="20"/>
    </row>
    <row r="543" spans="1:28" ht="15.75" customHeight="1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8"/>
      <c r="K543" s="47"/>
      <c r="L543" s="47"/>
      <c r="M543" s="47"/>
      <c r="N543" s="47"/>
      <c r="O543" s="47"/>
      <c r="P543" s="47"/>
      <c r="Q543" s="47"/>
      <c r="R543" s="47"/>
      <c r="S543" s="49"/>
      <c r="T543" s="49"/>
      <c r="U543" s="47"/>
      <c r="V543" s="50"/>
      <c r="W543" s="47"/>
      <c r="X543" s="47"/>
      <c r="Y543" s="47"/>
      <c r="Z543" s="49"/>
      <c r="AA543" s="49"/>
      <c r="AB543" s="20"/>
    </row>
    <row r="544" spans="1:28" ht="15.75" customHeight="1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8"/>
      <c r="K544" s="47"/>
      <c r="L544" s="47"/>
      <c r="M544" s="47"/>
      <c r="N544" s="47"/>
      <c r="O544" s="47"/>
      <c r="P544" s="47"/>
      <c r="Q544" s="47"/>
      <c r="R544" s="47"/>
      <c r="S544" s="49"/>
      <c r="T544" s="49"/>
      <c r="U544" s="47"/>
      <c r="V544" s="50"/>
      <c r="W544" s="47"/>
      <c r="X544" s="47"/>
      <c r="Y544" s="47"/>
      <c r="Z544" s="49"/>
      <c r="AA544" s="49"/>
      <c r="AB544" s="20"/>
    </row>
    <row r="545" spans="1:28" ht="15.75" customHeight="1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8"/>
      <c r="K545" s="47"/>
      <c r="L545" s="47"/>
      <c r="M545" s="47"/>
      <c r="N545" s="47"/>
      <c r="O545" s="47"/>
      <c r="P545" s="47"/>
      <c r="Q545" s="47"/>
      <c r="R545" s="47"/>
      <c r="S545" s="49"/>
      <c r="T545" s="49"/>
      <c r="U545" s="47"/>
      <c r="V545" s="50"/>
      <c r="W545" s="47"/>
      <c r="X545" s="47"/>
      <c r="Y545" s="47"/>
      <c r="Z545" s="49"/>
      <c r="AA545" s="49"/>
      <c r="AB545" s="20"/>
    </row>
    <row r="546" spans="1:28" ht="15.75" customHeight="1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8"/>
      <c r="K546" s="47"/>
      <c r="L546" s="47"/>
      <c r="M546" s="47"/>
      <c r="N546" s="47"/>
      <c r="O546" s="47"/>
      <c r="P546" s="47"/>
      <c r="Q546" s="47"/>
      <c r="R546" s="47"/>
      <c r="S546" s="49"/>
      <c r="T546" s="49"/>
      <c r="U546" s="47"/>
      <c r="V546" s="50"/>
      <c r="W546" s="47"/>
      <c r="X546" s="47"/>
      <c r="Y546" s="47"/>
      <c r="Z546" s="49"/>
      <c r="AA546" s="49"/>
      <c r="AB546" s="20"/>
    </row>
    <row r="547" spans="1:28" ht="15.75" customHeight="1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8"/>
      <c r="K547" s="47"/>
      <c r="L547" s="47"/>
      <c r="M547" s="47"/>
      <c r="N547" s="47"/>
      <c r="O547" s="47"/>
      <c r="P547" s="47"/>
      <c r="Q547" s="47"/>
      <c r="R547" s="47"/>
      <c r="S547" s="49"/>
      <c r="T547" s="49"/>
      <c r="U547" s="47"/>
      <c r="V547" s="50"/>
      <c r="W547" s="47"/>
      <c r="X547" s="47"/>
      <c r="Y547" s="47"/>
      <c r="Z547" s="49"/>
      <c r="AA547" s="49"/>
      <c r="AB547" s="20"/>
    </row>
    <row r="548" spans="1:28" ht="15.75" customHeight="1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8"/>
      <c r="K548" s="47"/>
      <c r="L548" s="47"/>
      <c r="M548" s="47"/>
      <c r="N548" s="47"/>
      <c r="O548" s="47"/>
      <c r="P548" s="47"/>
      <c r="Q548" s="47"/>
      <c r="R548" s="47"/>
      <c r="S548" s="49"/>
      <c r="T548" s="49"/>
      <c r="U548" s="47"/>
      <c r="V548" s="50"/>
      <c r="W548" s="47"/>
      <c r="X548" s="47"/>
      <c r="Y548" s="47"/>
      <c r="Z548" s="49"/>
      <c r="AA548" s="49"/>
      <c r="AB548" s="20"/>
    </row>
    <row r="549" spans="1:28" ht="15.75" customHeight="1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8"/>
      <c r="K549" s="47"/>
      <c r="L549" s="47"/>
      <c r="M549" s="47"/>
      <c r="N549" s="47"/>
      <c r="O549" s="47"/>
      <c r="P549" s="47"/>
      <c r="Q549" s="47"/>
      <c r="R549" s="47"/>
      <c r="S549" s="49"/>
      <c r="T549" s="49"/>
      <c r="U549" s="47"/>
      <c r="V549" s="50"/>
      <c r="W549" s="47"/>
      <c r="X549" s="47"/>
      <c r="Y549" s="47"/>
      <c r="Z549" s="49"/>
      <c r="AA549" s="49"/>
      <c r="AB549" s="20"/>
    </row>
    <row r="550" spans="1:28" ht="15.75" customHeight="1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8"/>
      <c r="K550" s="47"/>
      <c r="L550" s="47"/>
      <c r="M550" s="47"/>
      <c r="N550" s="47"/>
      <c r="O550" s="47"/>
      <c r="P550" s="47"/>
      <c r="Q550" s="47"/>
      <c r="R550" s="47"/>
      <c r="S550" s="49"/>
      <c r="T550" s="49"/>
      <c r="U550" s="47"/>
      <c r="V550" s="50"/>
      <c r="W550" s="47"/>
      <c r="X550" s="47"/>
      <c r="Y550" s="47"/>
      <c r="Z550" s="49"/>
      <c r="AA550" s="49"/>
      <c r="AB550" s="20"/>
    </row>
    <row r="551" spans="1:28" ht="15.75" customHeight="1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8"/>
      <c r="K551" s="47"/>
      <c r="L551" s="47"/>
      <c r="M551" s="47"/>
      <c r="N551" s="47"/>
      <c r="O551" s="47"/>
      <c r="P551" s="47"/>
      <c r="Q551" s="47"/>
      <c r="R551" s="47"/>
      <c r="S551" s="49"/>
      <c r="T551" s="49"/>
      <c r="U551" s="47"/>
      <c r="V551" s="50"/>
      <c r="W551" s="47"/>
      <c r="X551" s="47"/>
      <c r="Y551" s="47"/>
      <c r="Z551" s="49"/>
      <c r="AA551" s="49"/>
      <c r="AB551" s="20"/>
    </row>
    <row r="552" spans="1:28" ht="15.75" customHeight="1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8"/>
      <c r="K552" s="47"/>
      <c r="L552" s="47"/>
      <c r="M552" s="47"/>
      <c r="N552" s="47"/>
      <c r="O552" s="47"/>
      <c r="P552" s="47"/>
      <c r="Q552" s="47"/>
      <c r="R552" s="47"/>
      <c r="S552" s="49"/>
      <c r="T552" s="49"/>
      <c r="U552" s="47"/>
      <c r="V552" s="50"/>
      <c r="W552" s="47"/>
      <c r="X552" s="47"/>
      <c r="Y552" s="47"/>
      <c r="Z552" s="49"/>
      <c r="AA552" s="49"/>
      <c r="AB552" s="20"/>
    </row>
    <row r="553" spans="1:28" ht="15.75" customHeight="1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8"/>
      <c r="K553" s="47"/>
      <c r="L553" s="47"/>
      <c r="M553" s="47"/>
      <c r="N553" s="47"/>
      <c r="O553" s="47"/>
      <c r="P553" s="47"/>
      <c r="Q553" s="47"/>
      <c r="R553" s="47"/>
      <c r="S553" s="49"/>
      <c r="T553" s="49"/>
      <c r="U553" s="47"/>
      <c r="V553" s="50"/>
      <c r="W553" s="47"/>
      <c r="X553" s="47"/>
      <c r="Y553" s="47"/>
      <c r="Z553" s="49"/>
      <c r="AA553" s="49"/>
      <c r="AB553" s="20"/>
    </row>
    <row r="554" spans="1:28" ht="15.75" customHeight="1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8"/>
      <c r="K554" s="47"/>
      <c r="L554" s="47"/>
      <c r="M554" s="47"/>
      <c r="N554" s="47"/>
      <c r="O554" s="47"/>
      <c r="P554" s="47"/>
      <c r="Q554" s="47"/>
      <c r="R554" s="47"/>
      <c r="S554" s="49"/>
      <c r="T554" s="49"/>
      <c r="U554" s="47"/>
      <c r="V554" s="50"/>
      <c r="W554" s="47"/>
      <c r="X554" s="47"/>
      <c r="Y554" s="47"/>
      <c r="Z554" s="49"/>
      <c r="AA554" s="49"/>
      <c r="AB554" s="20"/>
    </row>
    <row r="555" spans="1:28" ht="15.75" customHeight="1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8"/>
      <c r="K555" s="47"/>
      <c r="L555" s="47"/>
      <c r="M555" s="47"/>
      <c r="N555" s="47"/>
      <c r="O555" s="47"/>
      <c r="P555" s="47"/>
      <c r="Q555" s="47"/>
      <c r="R555" s="47"/>
      <c r="S555" s="49"/>
      <c r="T555" s="49"/>
      <c r="U555" s="47"/>
      <c r="V555" s="50"/>
      <c r="W555" s="47"/>
      <c r="X555" s="47"/>
      <c r="Y555" s="47"/>
      <c r="Z555" s="49"/>
      <c r="AA555" s="49"/>
      <c r="AB555" s="20"/>
    </row>
    <row r="556" spans="1:28" ht="15.75" customHeight="1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8"/>
      <c r="K556" s="47"/>
      <c r="L556" s="47"/>
      <c r="M556" s="47"/>
      <c r="N556" s="47"/>
      <c r="O556" s="47"/>
      <c r="P556" s="47"/>
      <c r="Q556" s="47"/>
      <c r="R556" s="47"/>
      <c r="S556" s="49"/>
      <c r="T556" s="49"/>
      <c r="U556" s="47"/>
      <c r="V556" s="50"/>
      <c r="W556" s="47"/>
      <c r="X556" s="47"/>
      <c r="Y556" s="47"/>
      <c r="Z556" s="49"/>
      <c r="AA556" s="49"/>
      <c r="AB556" s="20"/>
    </row>
    <row r="557" spans="1:28" ht="15.75" customHeight="1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8"/>
      <c r="K557" s="47"/>
      <c r="L557" s="47"/>
      <c r="M557" s="47"/>
      <c r="N557" s="47"/>
      <c r="O557" s="47"/>
      <c r="P557" s="47"/>
      <c r="Q557" s="47"/>
      <c r="R557" s="47"/>
      <c r="S557" s="49"/>
      <c r="T557" s="49"/>
      <c r="U557" s="47"/>
      <c r="V557" s="50"/>
      <c r="W557" s="47"/>
      <c r="X557" s="47"/>
      <c r="Y557" s="47"/>
      <c r="Z557" s="49"/>
      <c r="AA557" s="49"/>
      <c r="AB557" s="20"/>
    </row>
    <row r="558" spans="1:28" ht="15.75" customHeight="1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8"/>
      <c r="K558" s="47"/>
      <c r="L558" s="47"/>
      <c r="M558" s="47"/>
      <c r="N558" s="47"/>
      <c r="O558" s="47"/>
      <c r="P558" s="47"/>
      <c r="Q558" s="47"/>
      <c r="R558" s="47"/>
      <c r="S558" s="49"/>
      <c r="T558" s="49"/>
      <c r="U558" s="47"/>
      <c r="V558" s="50"/>
      <c r="W558" s="47"/>
      <c r="X558" s="47"/>
      <c r="Y558" s="47"/>
      <c r="Z558" s="49"/>
      <c r="AA558" s="49"/>
      <c r="AB558" s="20"/>
    </row>
    <row r="559" spans="1:28" ht="15.75" customHeight="1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8"/>
      <c r="K559" s="47"/>
      <c r="L559" s="47"/>
      <c r="M559" s="47"/>
      <c r="N559" s="47"/>
      <c r="O559" s="47"/>
      <c r="P559" s="47"/>
      <c r="Q559" s="47"/>
      <c r="R559" s="47"/>
      <c r="S559" s="49"/>
      <c r="T559" s="49"/>
      <c r="U559" s="47"/>
      <c r="V559" s="50"/>
      <c r="W559" s="47"/>
      <c r="X559" s="47"/>
      <c r="Y559" s="47"/>
      <c r="Z559" s="49"/>
      <c r="AA559" s="49"/>
      <c r="AB559" s="20"/>
    </row>
    <row r="560" spans="1:28" ht="15.75" customHeight="1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8"/>
      <c r="K560" s="47"/>
      <c r="L560" s="47"/>
      <c r="M560" s="47"/>
      <c r="N560" s="47"/>
      <c r="O560" s="47"/>
      <c r="P560" s="47"/>
      <c r="Q560" s="47"/>
      <c r="R560" s="47"/>
      <c r="S560" s="49"/>
      <c r="T560" s="49"/>
      <c r="U560" s="47"/>
      <c r="V560" s="50"/>
      <c r="W560" s="47"/>
      <c r="X560" s="47"/>
      <c r="Y560" s="47"/>
      <c r="Z560" s="49"/>
      <c r="AA560" s="49"/>
      <c r="AB560" s="20"/>
    </row>
    <row r="561" spans="1:28" ht="15.75" customHeight="1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8"/>
      <c r="K561" s="47"/>
      <c r="L561" s="47"/>
      <c r="M561" s="47"/>
      <c r="N561" s="47"/>
      <c r="O561" s="47"/>
      <c r="P561" s="47"/>
      <c r="Q561" s="47"/>
      <c r="R561" s="47"/>
      <c r="S561" s="49"/>
      <c r="T561" s="49"/>
      <c r="U561" s="47"/>
      <c r="V561" s="50"/>
      <c r="W561" s="47"/>
      <c r="X561" s="47"/>
      <c r="Y561" s="47"/>
      <c r="Z561" s="49"/>
      <c r="AA561" s="49"/>
      <c r="AB561" s="20"/>
    </row>
    <row r="562" spans="1:28" ht="15.75" customHeight="1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8"/>
      <c r="K562" s="47"/>
      <c r="L562" s="47"/>
      <c r="M562" s="47"/>
      <c r="N562" s="47"/>
      <c r="O562" s="47"/>
      <c r="P562" s="47"/>
      <c r="Q562" s="47"/>
      <c r="R562" s="47"/>
      <c r="S562" s="49"/>
      <c r="T562" s="49"/>
      <c r="U562" s="47"/>
      <c r="V562" s="50"/>
      <c r="W562" s="47"/>
      <c r="X562" s="47"/>
      <c r="Y562" s="47"/>
      <c r="Z562" s="49"/>
      <c r="AA562" s="49"/>
      <c r="AB562" s="20"/>
    </row>
    <row r="563" spans="1:28" ht="15.75" customHeight="1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8"/>
      <c r="K563" s="47"/>
      <c r="L563" s="47"/>
      <c r="M563" s="47"/>
      <c r="N563" s="47"/>
      <c r="O563" s="47"/>
      <c r="P563" s="47"/>
      <c r="Q563" s="47"/>
      <c r="R563" s="47"/>
      <c r="S563" s="49"/>
      <c r="T563" s="49"/>
      <c r="U563" s="47"/>
      <c r="V563" s="50"/>
      <c r="W563" s="47"/>
      <c r="X563" s="47"/>
      <c r="Y563" s="47"/>
      <c r="Z563" s="49"/>
      <c r="AA563" s="49"/>
      <c r="AB563" s="20"/>
    </row>
    <row r="564" spans="1:28" ht="15.75" customHeight="1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8"/>
      <c r="K564" s="47"/>
      <c r="L564" s="47"/>
      <c r="M564" s="47"/>
      <c r="N564" s="47"/>
      <c r="O564" s="47"/>
      <c r="P564" s="47"/>
      <c r="Q564" s="47"/>
      <c r="R564" s="47"/>
      <c r="S564" s="49"/>
      <c r="T564" s="49"/>
      <c r="U564" s="47"/>
      <c r="V564" s="50"/>
      <c r="W564" s="47"/>
      <c r="X564" s="47"/>
      <c r="Y564" s="47"/>
      <c r="Z564" s="49"/>
      <c r="AA564" s="49"/>
      <c r="AB564" s="20"/>
    </row>
    <row r="565" spans="1:28" ht="15.75" customHeight="1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8"/>
      <c r="K565" s="47"/>
      <c r="L565" s="47"/>
      <c r="M565" s="47"/>
      <c r="N565" s="47"/>
      <c r="O565" s="47"/>
      <c r="P565" s="47"/>
      <c r="Q565" s="47"/>
      <c r="R565" s="47"/>
      <c r="S565" s="49"/>
      <c r="T565" s="49"/>
      <c r="U565" s="47"/>
      <c r="V565" s="50"/>
      <c r="W565" s="47"/>
      <c r="X565" s="47"/>
      <c r="Y565" s="47"/>
      <c r="Z565" s="49"/>
      <c r="AA565" s="49"/>
      <c r="AB565" s="20"/>
    </row>
    <row r="566" spans="1:28" ht="15.75" customHeight="1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8"/>
      <c r="K566" s="47"/>
      <c r="L566" s="47"/>
      <c r="M566" s="47"/>
      <c r="N566" s="47"/>
      <c r="O566" s="47"/>
      <c r="P566" s="47"/>
      <c r="Q566" s="47"/>
      <c r="R566" s="47"/>
      <c r="S566" s="49"/>
      <c r="T566" s="49"/>
      <c r="U566" s="47"/>
      <c r="V566" s="50"/>
      <c r="W566" s="47"/>
      <c r="X566" s="47"/>
      <c r="Y566" s="47"/>
      <c r="Z566" s="49"/>
      <c r="AA566" s="49"/>
      <c r="AB566" s="20"/>
    </row>
    <row r="567" spans="1:28" ht="15.75" customHeight="1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8"/>
      <c r="K567" s="47"/>
      <c r="L567" s="47"/>
      <c r="M567" s="47"/>
      <c r="N567" s="47"/>
      <c r="O567" s="47"/>
      <c r="P567" s="47"/>
      <c r="Q567" s="47"/>
      <c r="R567" s="47"/>
      <c r="S567" s="49"/>
      <c r="T567" s="49"/>
      <c r="U567" s="47"/>
      <c r="V567" s="50"/>
      <c r="W567" s="47"/>
      <c r="X567" s="47"/>
      <c r="Y567" s="47"/>
      <c r="Z567" s="49"/>
      <c r="AA567" s="49"/>
      <c r="AB567" s="20"/>
    </row>
    <row r="568" spans="1:28" ht="15.75" customHeight="1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8"/>
      <c r="K568" s="47"/>
      <c r="L568" s="47"/>
      <c r="M568" s="47"/>
      <c r="N568" s="47"/>
      <c r="O568" s="47"/>
      <c r="P568" s="47"/>
      <c r="Q568" s="47"/>
      <c r="R568" s="47"/>
      <c r="S568" s="49"/>
      <c r="T568" s="49"/>
      <c r="U568" s="47"/>
      <c r="V568" s="50"/>
      <c r="W568" s="47"/>
      <c r="X568" s="47"/>
      <c r="Y568" s="47"/>
      <c r="Z568" s="49"/>
      <c r="AA568" s="49"/>
      <c r="AB568" s="20"/>
    </row>
    <row r="569" spans="1:28" ht="15.75" customHeight="1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8"/>
      <c r="K569" s="47"/>
      <c r="L569" s="47"/>
      <c r="M569" s="47"/>
      <c r="N569" s="47"/>
      <c r="O569" s="47"/>
      <c r="P569" s="47"/>
      <c r="Q569" s="47"/>
      <c r="R569" s="47"/>
      <c r="S569" s="49"/>
      <c r="T569" s="49"/>
      <c r="U569" s="47"/>
      <c r="V569" s="50"/>
      <c r="W569" s="47"/>
      <c r="X569" s="47"/>
      <c r="Y569" s="47"/>
      <c r="Z569" s="49"/>
      <c r="AA569" s="49"/>
      <c r="AB569" s="20"/>
    </row>
    <row r="570" spans="1:28" ht="15.75" customHeight="1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8"/>
      <c r="K570" s="47"/>
      <c r="L570" s="47"/>
      <c r="M570" s="47"/>
      <c r="N570" s="47"/>
      <c r="O570" s="47"/>
      <c r="P570" s="47"/>
      <c r="Q570" s="47"/>
      <c r="R570" s="47"/>
      <c r="S570" s="49"/>
      <c r="T570" s="49"/>
      <c r="U570" s="47"/>
      <c r="V570" s="50"/>
      <c r="W570" s="47"/>
      <c r="X570" s="47"/>
      <c r="Y570" s="47"/>
      <c r="Z570" s="49"/>
      <c r="AA570" s="49"/>
      <c r="AB570" s="20"/>
    </row>
    <row r="571" spans="1:28" ht="15.75" customHeight="1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8"/>
      <c r="K571" s="47"/>
      <c r="L571" s="47"/>
      <c r="M571" s="47"/>
      <c r="N571" s="47"/>
      <c r="O571" s="47"/>
      <c r="P571" s="47"/>
      <c r="Q571" s="47"/>
      <c r="R571" s="47"/>
      <c r="S571" s="49"/>
      <c r="T571" s="49"/>
      <c r="U571" s="47"/>
      <c r="V571" s="50"/>
      <c r="W571" s="47"/>
      <c r="X571" s="47"/>
      <c r="Y571" s="47"/>
      <c r="Z571" s="49"/>
      <c r="AA571" s="49"/>
      <c r="AB571" s="20"/>
    </row>
    <row r="572" spans="1:28" ht="15.75" customHeight="1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8"/>
      <c r="K572" s="47"/>
      <c r="L572" s="47"/>
      <c r="M572" s="47"/>
      <c r="N572" s="47"/>
      <c r="O572" s="47"/>
      <c r="P572" s="47"/>
      <c r="Q572" s="47"/>
      <c r="R572" s="47"/>
      <c r="S572" s="49"/>
      <c r="T572" s="49"/>
      <c r="U572" s="47"/>
      <c r="V572" s="50"/>
      <c r="W572" s="47"/>
      <c r="X572" s="47"/>
      <c r="Y572" s="47"/>
      <c r="Z572" s="49"/>
      <c r="AA572" s="49"/>
      <c r="AB572" s="20"/>
    </row>
    <row r="573" spans="1:28" ht="15.75" customHeight="1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8"/>
      <c r="K573" s="47"/>
      <c r="L573" s="47"/>
      <c r="M573" s="47"/>
      <c r="N573" s="47"/>
      <c r="O573" s="47"/>
      <c r="P573" s="47"/>
      <c r="Q573" s="47"/>
      <c r="R573" s="47"/>
      <c r="S573" s="49"/>
      <c r="T573" s="49"/>
      <c r="U573" s="47"/>
      <c r="V573" s="50"/>
      <c r="W573" s="47"/>
      <c r="X573" s="47"/>
      <c r="Y573" s="47"/>
      <c r="Z573" s="49"/>
      <c r="AA573" s="49"/>
      <c r="AB573" s="20"/>
    </row>
    <row r="574" spans="1:28" ht="15.75" customHeight="1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8"/>
      <c r="K574" s="47"/>
      <c r="L574" s="47"/>
      <c r="M574" s="47"/>
      <c r="N574" s="47"/>
      <c r="O574" s="47"/>
      <c r="P574" s="47"/>
      <c r="Q574" s="47"/>
      <c r="R574" s="47"/>
      <c r="S574" s="49"/>
      <c r="T574" s="49"/>
      <c r="U574" s="47"/>
      <c r="V574" s="50"/>
      <c r="W574" s="47"/>
      <c r="X574" s="47"/>
      <c r="Y574" s="47"/>
      <c r="Z574" s="49"/>
      <c r="AA574" s="49"/>
      <c r="AB574" s="20"/>
    </row>
    <row r="575" spans="1:28" ht="15.75" customHeight="1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8"/>
      <c r="K575" s="47"/>
      <c r="L575" s="47"/>
      <c r="M575" s="47"/>
      <c r="N575" s="47"/>
      <c r="O575" s="47"/>
      <c r="P575" s="47"/>
      <c r="Q575" s="47"/>
      <c r="R575" s="47"/>
      <c r="S575" s="49"/>
      <c r="T575" s="49"/>
      <c r="U575" s="47"/>
      <c r="V575" s="50"/>
      <c r="W575" s="47"/>
      <c r="X575" s="47"/>
      <c r="Y575" s="47"/>
      <c r="Z575" s="49"/>
      <c r="AA575" s="49"/>
      <c r="AB575" s="20"/>
    </row>
    <row r="576" spans="1:28" ht="15.75" customHeight="1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8"/>
      <c r="K576" s="47"/>
      <c r="L576" s="47"/>
      <c r="M576" s="47"/>
      <c r="N576" s="47"/>
      <c r="O576" s="47"/>
      <c r="P576" s="47"/>
      <c r="Q576" s="47"/>
      <c r="R576" s="47"/>
      <c r="S576" s="49"/>
      <c r="T576" s="49"/>
      <c r="U576" s="47"/>
      <c r="V576" s="50"/>
      <c r="W576" s="47"/>
      <c r="X576" s="47"/>
      <c r="Y576" s="47"/>
      <c r="Z576" s="49"/>
      <c r="AA576" s="49"/>
      <c r="AB576" s="20"/>
    </row>
    <row r="577" spans="1:28" ht="15.75" customHeight="1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8"/>
      <c r="K577" s="47"/>
      <c r="L577" s="47"/>
      <c r="M577" s="47"/>
      <c r="N577" s="47"/>
      <c r="O577" s="47"/>
      <c r="P577" s="47"/>
      <c r="Q577" s="47"/>
      <c r="R577" s="47"/>
      <c r="S577" s="49"/>
      <c r="T577" s="49"/>
      <c r="U577" s="47"/>
      <c r="V577" s="50"/>
      <c r="W577" s="47"/>
      <c r="X577" s="47"/>
      <c r="Y577" s="47"/>
      <c r="Z577" s="49"/>
      <c r="AA577" s="49"/>
      <c r="AB577" s="20"/>
    </row>
    <row r="578" spans="1:28" ht="15.75" customHeight="1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8"/>
      <c r="K578" s="47"/>
      <c r="L578" s="47"/>
      <c r="M578" s="47"/>
      <c r="N578" s="47"/>
      <c r="O578" s="47"/>
      <c r="P578" s="47"/>
      <c r="Q578" s="47"/>
      <c r="R578" s="47"/>
      <c r="S578" s="49"/>
      <c r="T578" s="49"/>
      <c r="U578" s="47"/>
      <c r="V578" s="50"/>
      <c r="W578" s="47"/>
      <c r="X578" s="47"/>
      <c r="Y578" s="47"/>
      <c r="Z578" s="49"/>
      <c r="AA578" s="49"/>
      <c r="AB578" s="20"/>
    </row>
    <row r="579" spans="1:28" ht="15.75" customHeight="1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8"/>
      <c r="K579" s="47"/>
      <c r="L579" s="47"/>
      <c r="M579" s="47"/>
      <c r="N579" s="47"/>
      <c r="O579" s="47"/>
      <c r="P579" s="47"/>
      <c r="Q579" s="47"/>
      <c r="R579" s="47"/>
      <c r="S579" s="49"/>
      <c r="T579" s="49"/>
      <c r="U579" s="47"/>
      <c r="V579" s="50"/>
      <c r="W579" s="47"/>
      <c r="X579" s="47"/>
      <c r="Y579" s="47"/>
      <c r="Z579" s="49"/>
      <c r="AA579" s="49"/>
      <c r="AB579" s="20"/>
    </row>
    <row r="580" spans="1:28" ht="15.75" customHeight="1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8"/>
      <c r="K580" s="47"/>
      <c r="L580" s="47"/>
      <c r="M580" s="47"/>
      <c r="N580" s="47"/>
      <c r="O580" s="47"/>
      <c r="P580" s="47"/>
      <c r="Q580" s="47"/>
      <c r="R580" s="47"/>
      <c r="S580" s="49"/>
      <c r="T580" s="49"/>
      <c r="U580" s="47"/>
      <c r="V580" s="50"/>
      <c r="W580" s="47"/>
      <c r="X580" s="47"/>
      <c r="Y580" s="47"/>
      <c r="Z580" s="49"/>
      <c r="AA580" s="49"/>
      <c r="AB580" s="20"/>
    </row>
    <row r="581" spans="1:28" ht="15.75" customHeight="1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8"/>
      <c r="K581" s="47"/>
      <c r="L581" s="47"/>
      <c r="M581" s="47"/>
      <c r="N581" s="47"/>
      <c r="O581" s="47"/>
      <c r="P581" s="47"/>
      <c r="Q581" s="47"/>
      <c r="R581" s="47"/>
      <c r="S581" s="49"/>
      <c r="T581" s="49"/>
      <c r="U581" s="47"/>
      <c r="V581" s="50"/>
      <c r="W581" s="47"/>
      <c r="X581" s="47"/>
      <c r="Y581" s="47"/>
      <c r="Z581" s="49"/>
      <c r="AA581" s="49"/>
      <c r="AB581" s="20"/>
    </row>
    <row r="582" spans="1:28" ht="15.75" customHeight="1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8"/>
      <c r="K582" s="47"/>
      <c r="L582" s="47"/>
      <c r="M582" s="47"/>
      <c r="N582" s="47"/>
      <c r="O582" s="47"/>
      <c r="P582" s="47"/>
      <c r="Q582" s="47"/>
      <c r="R582" s="47"/>
      <c r="S582" s="49"/>
      <c r="T582" s="49"/>
      <c r="U582" s="47"/>
      <c r="V582" s="50"/>
      <c r="W582" s="47"/>
      <c r="X582" s="47"/>
      <c r="Y582" s="47"/>
      <c r="Z582" s="49"/>
      <c r="AA582" s="49"/>
      <c r="AB582" s="20"/>
    </row>
    <row r="583" spans="1:28" ht="15.75" customHeight="1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8"/>
      <c r="K583" s="47"/>
      <c r="L583" s="47"/>
      <c r="M583" s="47"/>
      <c r="N583" s="47"/>
      <c r="O583" s="47"/>
      <c r="P583" s="47"/>
      <c r="Q583" s="47"/>
      <c r="R583" s="47"/>
      <c r="S583" s="49"/>
      <c r="T583" s="49"/>
      <c r="U583" s="47"/>
      <c r="V583" s="50"/>
      <c r="W583" s="47"/>
      <c r="X583" s="47"/>
      <c r="Y583" s="47"/>
      <c r="Z583" s="49"/>
      <c r="AA583" s="49"/>
      <c r="AB583" s="20"/>
    </row>
    <row r="584" spans="1:28" ht="15.75" customHeight="1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8"/>
      <c r="K584" s="47"/>
      <c r="L584" s="47"/>
      <c r="M584" s="47"/>
      <c r="N584" s="47"/>
      <c r="O584" s="47"/>
      <c r="P584" s="47"/>
      <c r="Q584" s="47"/>
      <c r="R584" s="47"/>
      <c r="S584" s="49"/>
      <c r="T584" s="49"/>
      <c r="U584" s="47"/>
      <c r="V584" s="50"/>
      <c r="W584" s="47"/>
      <c r="X584" s="47"/>
      <c r="Y584" s="47"/>
      <c r="Z584" s="49"/>
      <c r="AA584" s="49"/>
      <c r="AB584" s="20"/>
    </row>
    <row r="585" spans="1:28" ht="15.75" customHeight="1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8"/>
      <c r="K585" s="47"/>
      <c r="L585" s="47"/>
      <c r="M585" s="47"/>
      <c r="N585" s="47"/>
      <c r="O585" s="47"/>
      <c r="P585" s="47"/>
      <c r="Q585" s="47"/>
      <c r="R585" s="47"/>
      <c r="S585" s="49"/>
      <c r="T585" s="49"/>
      <c r="U585" s="47"/>
      <c r="V585" s="50"/>
      <c r="W585" s="47"/>
      <c r="X585" s="47"/>
      <c r="Y585" s="47"/>
      <c r="Z585" s="49"/>
      <c r="AA585" s="49"/>
      <c r="AB585" s="20"/>
    </row>
    <row r="586" spans="1:28" ht="15.75" customHeight="1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8"/>
      <c r="K586" s="47"/>
      <c r="L586" s="47"/>
      <c r="M586" s="47"/>
      <c r="N586" s="47"/>
      <c r="O586" s="47"/>
      <c r="P586" s="47"/>
      <c r="Q586" s="47"/>
      <c r="R586" s="47"/>
      <c r="S586" s="49"/>
      <c r="T586" s="49"/>
      <c r="U586" s="47"/>
      <c r="V586" s="50"/>
      <c r="W586" s="47"/>
      <c r="X586" s="47"/>
      <c r="Y586" s="47"/>
      <c r="Z586" s="49"/>
      <c r="AA586" s="49"/>
      <c r="AB586" s="20"/>
    </row>
    <row r="587" spans="1:28" ht="15.75" customHeight="1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8"/>
      <c r="K587" s="47"/>
      <c r="L587" s="47"/>
      <c r="M587" s="47"/>
      <c r="N587" s="47"/>
      <c r="O587" s="47"/>
      <c r="P587" s="47"/>
      <c r="Q587" s="47"/>
      <c r="R587" s="47"/>
      <c r="S587" s="49"/>
      <c r="T587" s="49"/>
      <c r="U587" s="47"/>
      <c r="V587" s="50"/>
      <c r="W587" s="47"/>
      <c r="X587" s="47"/>
      <c r="Y587" s="47"/>
      <c r="Z587" s="49"/>
      <c r="AA587" s="49"/>
      <c r="AB587" s="20"/>
    </row>
    <row r="588" spans="1:28" ht="15.75" customHeight="1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8"/>
      <c r="K588" s="47"/>
      <c r="L588" s="47"/>
      <c r="M588" s="47"/>
      <c r="N588" s="47"/>
      <c r="O588" s="47"/>
      <c r="P588" s="47"/>
      <c r="Q588" s="47"/>
      <c r="R588" s="47"/>
      <c r="S588" s="49"/>
      <c r="T588" s="49"/>
      <c r="U588" s="47"/>
      <c r="V588" s="50"/>
      <c r="W588" s="47"/>
      <c r="X588" s="47"/>
      <c r="Y588" s="47"/>
      <c r="Z588" s="49"/>
      <c r="AA588" s="49"/>
      <c r="AB588" s="20"/>
    </row>
    <row r="589" spans="1:28" ht="15.75" customHeight="1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8"/>
      <c r="K589" s="47"/>
      <c r="L589" s="47"/>
      <c r="M589" s="47"/>
      <c r="N589" s="47"/>
      <c r="O589" s="47"/>
      <c r="P589" s="47"/>
      <c r="Q589" s="47"/>
      <c r="R589" s="47"/>
      <c r="S589" s="49"/>
      <c r="T589" s="49"/>
      <c r="U589" s="47"/>
      <c r="V589" s="50"/>
      <c r="W589" s="47"/>
      <c r="X589" s="47"/>
      <c r="Y589" s="47"/>
      <c r="Z589" s="49"/>
      <c r="AA589" s="49"/>
      <c r="AB589" s="20"/>
    </row>
    <row r="590" spans="1:28" ht="15.75" customHeight="1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8"/>
      <c r="K590" s="47"/>
      <c r="L590" s="47"/>
      <c r="M590" s="47"/>
      <c r="N590" s="47"/>
      <c r="O590" s="47"/>
      <c r="P590" s="47"/>
      <c r="Q590" s="47"/>
      <c r="R590" s="47"/>
      <c r="S590" s="49"/>
      <c r="T590" s="49"/>
      <c r="U590" s="47"/>
      <c r="V590" s="50"/>
      <c r="W590" s="47"/>
      <c r="X590" s="47"/>
      <c r="Y590" s="47"/>
      <c r="Z590" s="49"/>
      <c r="AA590" s="49"/>
      <c r="AB590" s="20"/>
    </row>
    <row r="591" spans="1:28" ht="15.75" customHeight="1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8"/>
      <c r="K591" s="47"/>
      <c r="L591" s="47"/>
      <c r="M591" s="47"/>
      <c r="N591" s="47"/>
      <c r="O591" s="47"/>
      <c r="P591" s="47"/>
      <c r="Q591" s="47"/>
      <c r="R591" s="47"/>
      <c r="S591" s="49"/>
      <c r="T591" s="49"/>
      <c r="U591" s="47"/>
      <c r="V591" s="50"/>
      <c r="W591" s="47"/>
      <c r="X591" s="47"/>
      <c r="Y591" s="47"/>
      <c r="Z591" s="49"/>
      <c r="AA591" s="49"/>
      <c r="AB591" s="20"/>
    </row>
    <row r="592" spans="1:28" ht="15.75" customHeight="1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8"/>
      <c r="K592" s="47"/>
      <c r="L592" s="47"/>
      <c r="M592" s="47"/>
      <c r="N592" s="47"/>
      <c r="O592" s="47"/>
      <c r="P592" s="47"/>
      <c r="Q592" s="47"/>
      <c r="R592" s="47"/>
      <c r="S592" s="49"/>
      <c r="T592" s="49"/>
      <c r="U592" s="47"/>
      <c r="V592" s="50"/>
      <c r="W592" s="47"/>
      <c r="X592" s="47"/>
      <c r="Y592" s="47"/>
      <c r="Z592" s="49"/>
      <c r="AA592" s="49"/>
      <c r="AB592" s="20"/>
    </row>
    <row r="593" spans="1:28" ht="15.75" customHeight="1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8"/>
      <c r="K593" s="47"/>
      <c r="L593" s="47"/>
      <c r="M593" s="47"/>
      <c r="N593" s="47"/>
      <c r="O593" s="47"/>
      <c r="P593" s="47"/>
      <c r="Q593" s="47"/>
      <c r="R593" s="47"/>
      <c r="S593" s="49"/>
      <c r="T593" s="49"/>
      <c r="U593" s="47"/>
      <c r="V593" s="50"/>
      <c r="W593" s="47"/>
      <c r="X593" s="47"/>
      <c r="Y593" s="47"/>
      <c r="Z593" s="49"/>
      <c r="AA593" s="49"/>
      <c r="AB593" s="20"/>
    </row>
    <row r="594" spans="1:28" ht="15.75" customHeight="1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8"/>
      <c r="K594" s="47"/>
      <c r="L594" s="47"/>
      <c r="M594" s="47"/>
      <c r="N594" s="47"/>
      <c r="O594" s="47"/>
      <c r="P594" s="47"/>
      <c r="Q594" s="47"/>
      <c r="R594" s="47"/>
      <c r="S594" s="49"/>
      <c r="T594" s="49"/>
      <c r="U594" s="47"/>
      <c r="V594" s="50"/>
      <c r="W594" s="47"/>
      <c r="X594" s="47"/>
      <c r="Y594" s="47"/>
      <c r="Z594" s="49"/>
      <c r="AA594" s="49"/>
      <c r="AB594" s="20"/>
    </row>
    <row r="595" spans="1:28" ht="15.75" customHeight="1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8"/>
      <c r="K595" s="47"/>
      <c r="L595" s="47"/>
      <c r="M595" s="47"/>
      <c r="N595" s="47"/>
      <c r="O595" s="47"/>
      <c r="P595" s="47"/>
      <c r="Q595" s="47"/>
      <c r="R595" s="47"/>
      <c r="S595" s="49"/>
      <c r="T595" s="49"/>
      <c r="U595" s="47"/>
      <c r="V595" s="50"/>
      <c r="W595" s="47"/>
      <c r="X595" s="47"/>
      <c r="Y595" s="47"/>
      <c r="Z595" s="49"/>
      <c r="AA595" s="49"/>
      <c r="AB595" s="20"/>
    </row>
    <row r="596" spans="1:28" ht="15.75" customHeight="1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8"/>
      <c r="K596" s="47"/>
      <c r="L596" s="47"/>
      <c r="M596" s="47"/>
      <c r="N596" s="47"/>
      <c r="O596" s="47"/>
      <c r="P596" s="47"/>
      <c r="Q596" s="47"/>
      <c r="R596" s="47"/>
      <c r="S596" s="49"/>
      <c r="T596" s="49"/>
      <c r="U596" s="47"/>
      <c r="V596" s="50"/>
      <c r="W596" s="47"/>
      <c r="X596" s="47"/>
      <c r="Y596" s="47"/>
      <c r="Z596" s="49"/>
      <c r="AA596" s="49"/>
      <c r="AB596" s="20"/>
    </row>
    <row r="597" spans="1:28" ht="15.75" customHeight="1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8"/>
      <c r="K597" s="47"/>
      <c r="L597" s="47"/>
      <c r="M597" s="47"/>
      <c r="N597" s="47"/>
      <c r="O597" s="47"/>
      <c r="P597" s="47"/>
      <c r="Q597" s="47"/>
      <c r="R597" s="47"/>
      <c r="S597" s="49"/>
      <c r="T597" s="49"/>
      <c r="U597" s="47"/>
      <c r="V597" s="50"/>
      <c r="W597" s="47"/>
      <c r="X597" s="47"/>
      <c r="Y597" s="47"/>
      <c r="Z597" s="49"/>
      <c r="AA597" s="49"/>
      <c r="AB597" s="20"/>
    </row>
    <row r="598" spans="1:28" ht="15.75" customHeight="1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8"/>
      <c r="K598" s="47"/>
      <c r="L598" s="47"/>
      <c r="M598" s="47"/>
      <c r="N598" s="47"/>
      <c r="O598" s="47"/>
      <c r="P598" s="47"/>
      <c r="Q598" s="47"/>
      <c r="R598" s="47"/>
      <c r="S598" s="49"/>
      <c r="T598" s="49"/>
      <c r="U598" s="47"/>
      <c r="V598" s="50"/>
      <c r="W598" s="47"/>
      <c r="X598" s="47"/>
      <c r="Y598" s="47"/>
      <c r="Z598" s="49"/>
      <c r="AA598" s="49"/>
      <c r="AB598" s="20"/>
    </row>
    <row r="599" spans="1:28" ht="15.75" customHeight="1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8"/>
      <c r="K599" s="47"/>
      <c r="L599" s="47"/>
      <c r="M599" s="47"/>
      <c r="N599" s="47"/>
      <c r="O599" s="47"/>
      <c r="P599" s="47"/>
      <c r="Q599" s="47"/>
      <c r="R599" s="47"/>
      <c r="S599" s="49"/>
      <c r="T599" s="49"/>
      <c r="U599" s="47"/>
      <c r="V599" s="50"/>
      <c r="W599" s="47"/>
      <c r="X599" s="47"/>
      <c r="Y599" s="47"/>
      <c r="Z599" s="49"/>
      <c r="AA599" s="49"/>
      <c r="AB599" s="20"/>
    </row>
    <row r="600" spans="1:28" ht="15.75" customHeight="1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8"/>
      <c r="K600" s="47"/>
      <c r="L600" s="47"/>
      <c r="M600" s="47"/>
      <c r="N600" s="47"/>
      <c r="O600" s="47"/>
      <c r="P600" s="47"/>
      <c r="Q600" s="47"/>
      <c r="R600" s="47"/>
      <c r="S600" s="49"/>
      <c r="T600" s="49"/>
      <c r="U600" s="47"/>
      <c r="V600" s="50"/>
      <c r="W600" s="47"/>
      <c r="X600" s="47"/>
      <c r="Y600" s="47"/>
      <c r="Z600" s="49"/>
      <c r="AA600" s="49"/>
      <c r="AB600" s="20"/>
    </row>
    <row r="601" spans="1:28" ht="15.75" customHeight="1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8"/>
      <c r="K601" s="47"/>
      <c r="L601" s="47"/>
      <c r="M601" s="47"/>
      <c r="N601" s="47"/>
      <c r="O601" s="47"/>
      <c r="P601" s="47"/>
      <c r="Q601" s="47"/>
      <c r="R601" s="47"/>
      <c r="S601" s="49"/>
      <c r="T601" s="49"/>
      <c r="U601" s="47"/>
      <c r="V601" s="50"/>
      <c r="W601" s="47"/>
      <c r="X601" s="47"/>
      <c r="Y601" s="47"/>
      <c r="Z601" s="49"/>
      <c r="AA601" s="49"/>
      <c r="AB601" s="20"/>
    </row>
    <row r="602" spans="1:28" ht="15.75" customHeight="1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8"/>
      <c r="K602" s="47"/>
      <c r="L602" s="47"/>
      <c r="M602" s="47"/>
      <c r="N602" s="47"/>
      <c r="O602" s="47"/>
      <c r="P602" s="47"/>
      <c r="Q602" s="47"/>
      <c r="R602" s="47"/>
      <c r="S602" s="49"/>
      <c r="T602" s="49"/>
      <c r="U602" s="47"/>
      <c r="V602" s="50"/>
      <c r="W602" s="47"/>
      <c r="X602" s="47"/>
      <c r="Y602" s="47"/>
      <c r="Z602" s="49"/>
      <c r="AA602" s="49"/>
      <c r="AB602" s="20"/>
    </row>
    <row r="603" spans="1:28" ht="15.75" customHeight="1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8"/>
      <c r="K603" s="47"/>
      <c r="L603" s="47"/>
      <c r="M603" s="47"/>
      <c r="N603" s="47"/>
      <c r="O603" s="47"/>
      <c r="P603" s="47"/>
      <c r="Q603" s="47"/>
      <c r="R603" s="47"/>
      <c r="S603" s="49"/>
      <c r="T603" s="49"/>
      <c r="U603" s="47"/>
      <c r="V603" s="50"/>
      <c r="W603" s="47"/>
      <c r="X603" s="47"/>
      <c r="Y603" s="47"/>
      <c r="Z603" s="49"/>
      <c r="AA603" s="49"/>
      <c r="AB603" s="20"/>
    </row>
    <row r="604" spans="1:28" ht="15.75" customHeight="1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8"/>
      <c r="K604" s="47"/>
      <c r="L604" s="47"/>
      <c r="M604" s="47"/>
      <c r="N604" s="47"/>
      <c r="O604" s="47"/>
      <c r="P604" s="47"/>
      <c r="Q604" s="47"/>
      <c r="R604" s="47"/>
      <c r="S604" s="49"/>
      <c r="T604" s="49"/>
      <c r="U604" s="47"/>
      <c r="V604" s="50"/>
      <c r="W604" s="47"/>
      <c r="X604" s="47"/>
      <c r="Y604" s="47"/>
      <c r="Z604" s="49"/>
      <c r="AA604" s="49"/>
      <c r="AB604" s="20"/>
    </row>
    <row r="605" spans="1:28" ht="15.75" customHeight="1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8"/>
      <c r="K605" s="47"/>
      <c r="L605" s="47"/>
      <c r="M605" s="47"/>
      <c r="N605" s="47"/>
      <c r="O605" s="47"/>
      <c r="P605" s="47"/>
      <c r="Q605" s="47"/>
      <c r="R605" s="47"/>
      <c r="S605" s="49"/>
      <c r="T605" s="49"/>
      <c r="U605" s="47"/>
      <c r="V605" s="50"/>
      <c r="W605" s="47"/>
      <c r="X605" s="47"/>
      <c r="Y605" s="47"/>
      <c r="Z605" s="49"/>
      <c r="AA605" s="49"/>
      <c r="AB605" s="20"/>
    </row>
    <row r="606" spans="1:28" ht="15.75" customHeight="1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8"/>
      <c r="K606" s="47"/>
      <c r="L606" s="47"/>
      <c r="M606" s="47"/>
      <c r="N606" s="47"/>
      <c r="O606" s="47"/>
      <c r="P606" s="47"/>
      <c r="Q606" s="47"/>
      <c r="R606" s="47"/>
      <c r="S606" s="49"/>
      <c r="T606" s="49"/>
      <c r="U606" s="47"/>
      <c r="V606" s="50"/>
      <c r="W606" s="47"/>
      <c r="X606" s="47"/>
      <c r="Y606" s="47"/>
      <c r="Z606" s="49"/>
      <c r="AA606" s="49"/>
      <c r="AB606" s="20"/>
    </row>
    <row r="607" spans="1:28" ht="15.75" customHeight="1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8"/>
      <c r="K607" s="47"/>
      <c r="L607" s="47"/>
      <c r="M607" s="47"/>
      <c r="N607" s="47"/>
      <c r="O607" s="47"/>
      <c r="P607" s="47"/>
      <c r="Q607" s="47"/>
      <c r="R607" s="47"/>
      <c r="S607" s="49"/>
      <c r="T607" s="49"/>
      <c r="U607" s="47"/>
      <c r="V607" s="50"/>
      <c r="W607" s="47"/>
      <c r="X607" s="47"/>
      <c r="Y607" s="47"/>
      <c r="Z607" s="49"/>
      <c r="AA607" s="49"/>
      <c r="AB607" s="20"/>
    </row>
    <row r="608" spans="1:28" ht="15.75" customHeight="1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8"/>
      <c r="K608" s="47"/>
      <c r="L608" s="47"/>
      <c r="M608" s="47"/>
      <c r="N608" s="47"/>
      <c r="O608" s="47"/>
      <c r="P608" s="47"/>
      <c r="Q608" s="47"/>
      <c r="R608" s="47"/>
      <c r="S608" s="49"/>
      <c r="T608" s="49"/>
      <c r="U608" s="47"/>
      <c r="V608" s="50"/>
      <c r="W608" s="47"/>
      <c r="X608" s="47"/>
      <c r="Y608" s="47"/>
      <c r="Z608" s="49"/>
      <c r="AA608" s="49"/>
      <c r="AB608" s="20"/>
    </row>
    <row r="609" spans="1:28" ht="15.75" customHeight="1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8"/>
      <c r="K609" s="47"/>
      <c r="L609" s="47"/>
      <c r="M609" s="47"/>
      <c r="N609" s="47"/>
      <c r="O609" s="47"/>
      <c r="P609" s="47"/>
      <c r="Q609" s="47"/>
      <c r="R609" s="47"/>
      <c r="S609" s="49"/>
      <c r="T609" s="49"/>
      <c r="U609" s="47"/>
      <c r="V609" s="50"/>
      <c r="W609" s="47"/>
      <c r="X609" s="47"/>
      <c r="Y609" s="47"/>
      <c r="Z609" s="49"/>
      <c r="AA609" s="49"/>
      <c r="AB609" s="20"/>
    </row>
    <row r="610" spans="1:28" ht="15.75" customHeight="1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8"/>
      <c r="K610" s="47"/>
      <c r="L610" s="47"/>
      <c r="M610" s="47"/>
      <c r="N610" s="47"/>
      <c r="O610" s="47"/>
      <c r="P610" s="47"/>
      <c r="Q610" s="47"/>
      <c r="R610" s="47"/>
      <c r="S610" s="49"/>
      <c r="T610" s="49"/>
      <c r="U610" s="47"/>
      <c r="V610" s="50"/>
      <c r="W610" s="47"/>
      <c r="X610" s="47"/>
      <c r="Y610" s="47"/>
      <c r="Z610" s="49"/>
      <c r="AA610" s="49"/>
      <c r="AB610" s="20"/>
    </row>
    <row r="611" spans="1:28" ht="15.75" customHeight="1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8"/>
      <c r="K611" s="47"/>
      <c r="L611" s="47"/>
      <c r="M611" s="47"/>
      <c r="N611" s="47"/>
      <c r="O611" s="47"/>
      <c r="P611" s="47"/>
      <c r="Q611" s="47"/>
      <c r="R611" s="47"/>
      <c r="S611" s="49"/>
      <c r="T611" s="49"/>
      <c r="U611" s="47"/>
      <c r="V611" s="50"/>
      <c r="W611" s="47"/>
      <c r="X611" s="47"/>
      <c r="Y611" s="47"/>
      <c r="Z611" s="49"/>
      <c r="AA611" s="49"/>
      <c r="AB611" s="20"/>
    </row>
    <row r="612" spans="1:28" ht="15.75" customHeight="1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8"/>
      <c r="K612" s="47"/>
      <c r="L612" s="47"/>
      <c r="M612" s="47"/>
      <c r="N612" s="47"/>
      <c r="O612" s="47"/>
      <c r="P612" s="47"/>
      <c r="Q612" s="47"/>
      <c r="R612" s="47"/>
      <c r="S612" s="49"/>
      <c r="T612" s="49"/>
      <c r="U612" s="47"/>
      <c r="V612" s="50"/>
      <c r="W612" s="47"/>
      <c r="X612" s="47"/>
      <c r="Y612" s="47"/>
      <c r="Z612" s="49"/>
      <c r="AA612" s="49"/>
      <c r="AB612" s="20"/>
    </row>
    <row r="613" spans="1:28" ht="15.75" customHeight="1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8"/>
      <c r="K613" s="47"/>
      <c r="L613" s="47"/>
      <c r="M613" s="47"/>
      <c r="N613" s="47"/>
      <c r="O613" s="47"/>
      <c r="P613" s="47"/>
      <c r="Q613" s="47"/>
      <c r="R613" s="47"/>
      <c r="S613" s="49"/>
      <c r="T613" s="49"/>
      <c r="U613" s="47"/>
      <c r="V613" s="50"/>
      <c r="W613" s="47"/>
      <c r="X613" s="47"/>
      <c r="Y613" s="47"/>
      <c r="Z613" s="49"/>
      <c r="AA613" s="49"/>
      <c r="AB613" s="20"/>
    </row>
    <row r="614" spans="1:28" ht="15.75" customHeight="1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8"/>
      <c r="K614" s="47"/>
      <c r="L614" s="47"/>
      <c r="M614" s="47"/>
      <c r="N614" s="47"/>
      <c r="O614" s="47"/>
      <c r="P614" s="47"/>
      <c r="Q614" s="47"/>
      <c r="R614" s="47"/>
      <c r="S614" s="49"/>
      <c r="T614" s="49"/>
      <c r="U614" s="47"/>
      <c r="V614" s="50"/>
      <c r="W614" s="47"/>
      <c r="X614" s="47"/>
      <c r="Y614" s="47"/>
      <c r="Z614" s="49"/>
      <c r="AA614" s="49"/>
      <c r="AB614" s="20"/>
    </row>
    <row r="615" spans="1:28" ht="15.75" customHeight="1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8"/>
      <c r="K615" s="47"/>
      <c r="L615" s="47"/>
      <c r="M615" s="47"/>
      <c r="N615" s="47"/>
      <c r="O615" s="47"/>
      <c r="P615" s="47"/>
      <c r="Q615" s="47"/>
      <c r="R615" s="47"/>
      <c r="S615" s="49"/>
      <c r="T615" s="49"/>
      <c r="U615" s="47"/>
      <c r="V615" s="50"/>
      <c r="W615" s="47"/>
      <c r="X615" s="47"/>
      <c r="Y615" s="47"/>
      <c r="Z615" s="49"/>
      <c r="AA615" s="49"/>
      <c r="AB615" s="20"/>
    </row>
    <row r="616" spans="1:28" ht="15.75" customHeight="1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8"/>
      <c r="K616" s="47"/>
      <c r="L616" s="47"/>
      <c r="M616" s="47"/>
      <c r="N616" s="47"/>
      <c r="O616" s="47"/>
      <c r="P616" s="47"/>
      <c r="Q616" s="47"/>
      <c r="R616" s="47"/>
      <c r="S616" s="49"/>
      <c r="T616" s="49"/>
      <c r="U616" s="47"/>
      <c r="V616" s="50"/>
      <c r="W616" s="47"/>
      <c r="X616" s="47"/>
      <c r="Y616" s="47"/>
      <c r="Z616" s="49"/>
      <c r="AA616" s="49"/>
      <c r="AB616" s="20"/>
    </row>
    <row r="617" spans="1:28" ht="15.75" customHeight="1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8"/>
      <c r="K617" s="47"/>
      <c r="L617" s="47"/>
      <c r="M617" s="47"/>
      <c r="N617" s="47"/>
      <c r="O617" s="47"/>
      <c r="P617" s="47"/>
      <c r="Q617" s="47"/>
      <c r="R617" s="47"/>
      <c r="S617" s="49"/>
      <c r="T617" s="49"/>
      <c r="U617" s="47"/>
      <c r="V617" s="50"/>
      <c r="W617" s="47"/>
      <c r="X617" s="47"/>
      <c r="Y617" s="47"/>
      <c r="Z617" s="49"/>
      <c r="AA617" s="49"/>
      <c r="AB617" s="20"/>
    </row>
    <row r="618" spans="1:28" ht="15.75" customHeight="1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8"/>
      <c r="K618" s="47"/>
      <c r="L618" s="47"/>
      <c r="M618" s="47"/>
      <c r="N618" s="47"/>
      <c r="O618" s="47"/>
      <c r="P618" s="47"/>
      <c r="Q618" s="47"/>
      <c r="R618" s="47"/>
      <c r="S618" s="49"/>
      <c r="T618" s="49"/>
      <c r="U618" s="47"/>
      <c r="V618" s="50"/>
      <c r="W618" s="47"/>
      <c r="X618" s="47"/>
      <c r="Y618" s="47"/>
      <c r="Z618" s="49"/>
      <c r="AA618" s="49"/>
      <c r="AB618" s="20"/>
    </row>
    <row r="619" spans="1:28" ht="15.75" customHeight="1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8"/>
      <c r="K619" s="47"/>
      <c r="L619" s="47"/>
      <c r="M619" s="47"/>
      <c r="N619" s="47"/>
      <c r="O619" s="47"/>
      <c r="P619" s="47"/>
      <c r="Q619" s="47"/>
      <c r="R619" s="47"/>
      <c r="S619" s="49"/>
      <c r="T619" s="49"/>
      <c r="U619" s="47"/>
      <c r="V619" s="50"/>
      <c r="W619" s="47"/>
      <c r="X619" s="47"/>
      <c r="Y619" s="47"/>
      <c r="Z619" s="49"/>
      <c r="AA619" s="49"/>
      <c r="AB619" s="20"/>
    </row>
    <row r="620" spans="1:28" ht="15.75" customHeight="1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8"/>
      <c r="K620" s="47"/>
      <c r="L620" s="47"/>
      <c r="M620" s="47"/>
      <c r="N620" s="47"/>
      <c r="O620" s="47"/>
      <c r="P620" s="47"/>
      <c r="Q620" s="47"/>
      <c r="R620" s="47"/>
      <c r="S620" s="49"/>
      <c r="T620" s="49"/>
      <c r="U620" s="47"/>
      <c r="V620" s="50"/>
      <c r="W620" s="47"/>
      <c r="X620" s="47"/>
      <c r="Y620" s="47"/>
      <c r="Z620" s="49"/>
      <c r="AA620" s="49"/>
      <c r="AB620" s="20"/>
    </row>
    <row r="621" spans="1:28" ht="15.75" customHeight="1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8"/>
      <c r="K621" s="47"/>
      <c r="L621" s="47"/>
      <c r="M621" s="47"/>
      <c r="N621" s="47"/>
      <c r="O621" s="47"/>
      <c r="P621" s="47"/>
      <c r="Q621" s="47"/>
      <c r="R621" s="47"/>
      <c r="S621" s="49"/>
      <c r="T621" s="49"/>
      <c r="U621" s="47"/>
      <c r="V621" s="50"/>
      <c r="W621" s="47"/>
      <c r="X621" s="47"/>
      <c r="Y621" s="47"/>
      <c r="Z621" s="49"/>
      <c r="AA621" s="49"/>
      <c r="AB621" s="20"/>
    </row>
    <row r="622" spans="1:28" ht="15.75" customHeight="1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8"/>
      <c r="K622" s="47"/>
      <c r="L622" s="47"/>
      <c r="M622" s="47"/>
      <c r="N622" s="47"/>
      <c r="O622" s="47"/>
      <c r="P622" s="47"/>
      <c r="Q622" s="47"/>
      <c r="R622" s="47"/>
      <c r="S622" s="49"/>
      <c r="T622" s="49"/>
      <c r="U622" s="47"/>
      <c r="V622" s="50"/>
      <c r="W622" s="47"/>
      <c r="X622" s="47"/>
      <c r="Y622" s="47"/>
      <c r="Z622" s="49"/>
      <c r="AA622" s="49"/>
      <c r="AB622" s="20"/>
    </row>
    <row r="623" spans="1:28" ht="15.75" customHeight="1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8"/>
      <c r="K623" s="47"/>
      <c r="L623" s="47"/>
      <c r="M623" s="47"/>
      <c r="N623" s="47"/>
      <c r="O623" s="47"/>
      <c r="P623" s="47"/>
      <c r="Q623" s="47"/>
      <c r="R623" s="47"/>
      <c r="S623" s="49"/>
      <c r="T623" s="49"/>
      <c r="U623" s="47"/>
      <c r="V623" s="50"/>
      <c r="W623" s="47"/>
      <c r="X623" s="47"/>
      <c r="Y623" s="47"/>
      <c r="Z623" s="49"/>
      <c r="AA623" s="49"/>
      <c r="AB623" s="20"/>
    </row>
    <row r="624" spans="1:28" ht="15.75" customHeight="1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8"/>
      <c r="K624" s="47"/>
      <c r="L624" s="47"/>
      <c r="M624" s="47"/>
      <c r="N624" s="47"/>
      <c r="O624" s="47"/>
      <c r="P624" s="47"/>
      <c r="Q624" s="47"/>
      <c r="R624" s="47"/>
      <c r="S624" s="49"/>
      <c r="T624" s="49"/>
      <c r="U624" s="47"/>
      <c r="V624" s="50"/>
      <c r="W624" s="47"/>
      <c r="X624" s="47"/>
      <c r="Y624" s="47"/>
      <c r="Z624" s="49"/>
      <c r="AA624" s="49"/>
      <c r="AB624" s="20"/>
    </row>
    <row r="625" spans="1:28" ht="15.75" customHeight="1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8"/>
      <c r="K625" s="47"/>
      <c r="L625" s="47"/>
      <c r="M625" s="47"/>
      <c r="N625" s="47"/>
      <c r="O625" s="47"/>
      <c r="P625" s="47"/>
      <c r="Q625" s="47"/>
      <c r="R625" s="47"/>
      <c r="S625" s="49"/>
      <c r="T625" s="49"/>
      <c r="U625" s="47"/>
      <c r="V625" s="50"/>
      <c r="W625" s="47"/>
      <c r="X625" s="47"/>
      <c r="Y625" s="47"/>
      <c r="Z625" s="49"/>
      <c r="AA625" s="49"/>
      <c r="AB625" s="20"/>
    </row>
    <row r="626" spans="1:28" ht="15.75" customHeight="1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8"/>
      <c r="K626" s="47"/>
      <c r="L626" s="47"/>
      <c r="M626" s="47"/>
      <c r="N626" s="47"/>
      <c r="O626" s="47"/>
      <c r="P626" s="47"/>
      <c r="Q626" s="47"/>
      <c r="R626" s="47"/>
      <c r="S626" s="49"/>
      <c r="T626" s="49"/>
      <c r="U626" s="47"/>
      <c r="V626" s="50"/>
      <c r="W626" s="47"/>
      <c r="X626" s="47"/>
      <c r="Y626" s="47"/>
      <c r="Z626" s="49"/>
      <c r="AA626" s="49"/>
      <c r="AB626" s="20"/>
    </row>
    <row r="627" spans="1:28" ht="15.75" customHeight="1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8"/>
      <c r="K627" s="47"/>
      <c r="L627" s="47"/>
      <c r="M627" s="47"/>
      <c r="N627" s="47"/>
      <c r="O627" s="47"/>
      <c r="P627" s="47"/>
      <c r="Q627" s="47"/>
      <c r="R627" s="47"/>
      <c r="S627" s="49"/>
      <c r="T627" s="49"/>
      <c r="U627" s="47"/>
      <c r="V627" s="50"/>
      <c r="W627" s="47"/>
      <c r="X627" s="47"/>
      <c r="Y627" s="47"/>
      <c r="Z627" s="49"/>
      <c r="AA627" s="49"/>
      <c r="AB627" s="20"/>
    </row>
    <row r="628" spans="1:28" ht="15.75" customHeight="1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8"/>
      <c r="K628" s="47"/>
      <c r="L628" s="47"/>
      <c r="M628" s="47"/>
      <c r="N628" s="47"/>
      <c r="O628" s="47"/>
      <c r="P628" s="47"/>
      <c r="Q628" s="47"/>
      <c r="R628" s="47"/>
      <c r="S628" s="49"/>
      <c r="T628" s="49"/>
      <c r="U628" s="47"/>
      <c r="V628" s="50"/>
      <c r="W628" s="47"/>
      <c r="X628" s="47"/>
      <c r="Y628" s="47"/>
      <c r="Z628" s="49"/>
      <c r="AA628" s="49"/>
      <c r="AB628" s="20"/>
    </row>
    <row r="629" spans="1:28" ht="15.75" customHeight="1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8"/>
      <c r="K629" s="47"/>
      <c r="L629" s="47"/>
      <c r="M629" s="47"/>
      <c r="N629" s="47"/>
      <c r="O629" s="47"/>
      <c r="P629" s="47"/>
      <c r="Q629" s="47"/>
      <c r="R629" s="47"/>
      <c r="S629" s="49"/>
      <c r="T629" s="49"/>
      <c r="U629" s="47"/>
      <c r="V629" s="50"/>
      <c r="W629" s="47"/>
      <c r="X629" s="47"/>
      <c r="Y629" s="47"/>
      <c r="Z629" s="49"/>
      <c r="AA629" s="49"/>
      <c r="AB629" s="20"/>
    </row>
    <row r="630" spans="1:28" ht="15.75" customHeight="1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8"/>
      <c r="K630" s="47"/>
      <c r="L630" s="47"/>
      <c r="M630" s="47"/>
      <c r="N630" s="47"/>
      <c r="O630" s="47"/>
      <c r="P630" s="47"/>
      <c r="Q630" s="47"/>
      <c r="R630" s="47"/>
      <c r="S630" s="49"/>
      <c r="T630" s="49"/>
      <c r="U630" s="47"/>
      <c r="V630" s="50"/>
      <c r="W630" s="47"/>
      <c r="X630" s="47"/>
      <c r="Y630" s="47"/>
      <c r="Z630" s="49"/>
      <c r="AA630" s="49"/>
      <c r="AB630" s="20"/>
    </row>
    <row r="631" spans="1:28" ht="15.75" customHeight="1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8"/>
      <c r="K631" s="47"/>
      <c r="L631" s="47"/>
      <c r="M631" s="47"/>
      <c r="N631" s="47"/>
      <c r="O631" s="47"/>
      <c r="P631" s="47"/>
      <c r="Q631" s="47"/>
      <c r="R631" s="47"/>
      <c r="S631" s="49"/>
      <c r="T631" s="49"/>
      <c r="U631" s="47"/>
      <c r="V631" s="50"/>
      <c r="W631" s="47"/>
      <c r="X631" s="47"/>
      <c r="Y631" s="47"/>
      <c r="Z631" s="49"/>
      <c r="AA631" s="49"/>
      <c r="AB631" s="20"/>
    </row>
    <row r="632" spans="1:28" ht="15.75" customHeight="1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8"/>
      <c r="K632" s="47"/>
      <c r="L632" s="47"/>
      <c r="M632" s="47"/>
      <c r="N632" s="47"/>
      <c r="O632" s="47"/>
      <c r="P632" s="47"/>
      <c r="Q632" s="47"/>
      <c r="R632" s="47"/>
      <c r="S632" s="49"/>
      <c r="T632" s="49"/>
      <c r="U632" s="47"/>
      <c r="V632" s="50"/>
      <c r="W632" s="47"/>
      <c r="X632" s="47"/>
      <c r="Y632" s="47"/>
      <c r="Z632" s="49"/>
      <c r="AA632" s="49"/>
      <c r="AB632" s="20"/>
    </row>
    <row r="633" spans="1:28" ht="15.75" customHeight="1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8"/>
      <c r="K633" s="47"/>
      <c r="L633" s="47"/>
      <c r="M633" s="47"/>
      <c r="N633" s="47"/>
      <c r="O633" s="47"/>
      <c r="P633" s="47"/>
      <c r="Q633" s="47"/>
      <c r="R633" s="47"/>
      <c r="S633" s="49"/>
      <c r="T633" s="49"/>
      <c r="U633" s="47"/>
      <c r="V633" s="50"/>
      <c r="W633" s="47"/>
      <c r="X633" s="47"/>
      <c r="Y633" s="47"/>
      <c r="Z633" s="49"/>
      <c r="AA633" s="49"/>
      <c r="AB633" s="20"/>
    </row>
    <row r="634" spans="1:28" ht="15.75" customHeight="1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8"/>
      <c r="K634" s="47"/>
      <c r="L634" s="47"/>
      <c r="M634" s="47"/>
      <c r="N634" s="47"/>
      <c r="O634" s="47"/>
      <c r="P634" s="47"/>
      <c r="Q634" s="47"/>
      <c r="R634" s="47"/>
      <c r="S634" s="49"/>
      <c r="T634" s="49"/>
      <c r="U634" s="47"/>
      <c r="V634" s="50"/>
      <c r="W634" s="47"/>
      <c r="X634" s="47"/>
      <c r="Y634" s="47"/>
      <c r="Z634" s="49"/>
      <c r="AA634" s="49"/>
      <c r="AB634" s="20"/>
    </row>
    <row r="635" spans="1:28" ht="15.75" customHeight="1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8"/>
      <c r="K635" s="47"/>
      <c r="L635" s="47"/>
      <c r="M635" s="47"/>
      <c r="N635" s="47"/>
      <c r="O635" s="47"/>
      <c r="P635" s="47"/>
      <c r="Q635" s="47"/>
      <c r="R635" s="47"/>
      <c r="S635" s="49"/>
      <c r="T635" s="49"/>
      <c r="U635" s="47"/>
      <c r="V635" s="50"/>
      <c r="W635" s="47"/>
      <c r="X635" s="47"/>
      <c r="Y635" s="47"/>
      <c r="Z635" s="49"/>
      <c r="AA635" s="49"/>
      <c r="AB635" s="20"/>
    </row>
    <row r="636" spans="1:28" ht="15.75" customHeight="1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8"/>
      <c r="K636" s="47"/>
      <c r="L636" s="47"/>
      <c r="M636" s="47"/>
      <c r="N636" s="47"/>
      <c r="O636" s="47"/>
      <c r="P636" s="47"/>
      <c r="Q636" s="47"/>
      <c r="R636" s="47"/>
      <c r="S636" s="49"/>
      <c r="T636" s="49"/>
      <c r="U636" s="47"/>
      <c r="V636" s="50"/>
      <c r="W636" s="47"/>
      <c r="X636" s="47"/>
      <c r="Y636" s="47"/>
      <c r="Z636" s="49"/>
      <c r="AA636" s="49"/>
      <c r="AB636" s="20"/>
    </row>
    <row r="637" spans="1:28" ht="15.75" customHeight="1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8"/>
      <c r="K637" s="47"/>
      <c r="L637" s="47"/>
      <c r="M637" s="47"/>
      <c r="N637" s="47"/>
      <c r="O637" s="47"/>
      <c r="P637" s="47"/>
      <c r="Q637" s="47"/>
      <c r="R637" s="47"/>
      <c r="S637" s="49"/>
      <c r="T637" s="49"/>
      <c r="U637" s="47"/>
      <c r="V637" s="50"/>
      <c r="W637" s="47"/>
      <c r="X637" s="47"/>
      <c r="Y637" s="47"/>
      <c r="Z637" s="49"/>
      <c r="AA637" s="49"/>
      <c r="AB637" s="20"/>
    </row>
    <row r="638" spans="1:28" ht="15.75" customHeight="1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8"/>
      <c r="K638" s="47"/>
      <c r="L638" s="47"/>
      <c r="M638" s="47"/>
      <c r="N638" s="47"/>
      <c r="O638" s="47"/>
      <c r="P638" s="47"/>
      <c r="Q638" s="47"/>
      <c r="R638" s="47"/>
      <c r="S638" s="49"/>
      <c r="T638" s="49"/>
      <c r="U638" s="47"/>
      <c r="V638" s="50"/>
      <c r="W638" s="47"/>
      <c r="X638" s="47"/>
      <c r="Y638" s="47"/>
      <c r="Z638" s="49"/>
      <c r="AA638" s="49"/>
      <c r="AB638" s="20"/>
    </row>
    <row r="639" spans="1:28" ht="15.75" customHeight="1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8"/>
      <c r="K639" s="47"/>
      <c r="L639" s="47"/>
      <c r="M639" s="47"/>
      <c r="N639" s="47"/>
      <c r="O639" s="47"/>
      <c r="P639" s="47"/>
      <c r="Q639" s="47"/>
      <c r="R639" s="47"/>
      <c r="S639" s="49"/>
      <c r="T639" s="49"/>
      <c r="U639" s="47"/>
      <c r="V639" s="50"/>
      <c r="W639" s="47"/>
      <c r="X639" s="47"/>
      <c r="Y639" s="47"/>
      <c r="Z639" s="49"/>
      <c r="AA639" s="49"/>
      <c r="AB639" s="20"/>
    </row>
    <row r="640" spans="1:28" ht="15.75" customHeight="1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8"/>
      <c r="K640" s="47"/>
      <c r="L640" s="47"/>
      <c r="M640" s="47"/>
      <c r="N640" s="47"/>
      <c r="O640" s="47"/>
      <c r="P640" s="47"/>
      <c r="Q640" s="47"/>
      <c r="R640" s="47"/>
      <c r="S640" s="49"/>
      <c r="T640" s="49"/>
      <c r="U640" s="47"/>
      <c r="V640" s="50"/>
      <c r="W640" s="47"/>
      <c r="X640" s="47"/>
      <c r="Y640" s="47"/>
      <c r="Z640" s="49"/>
      <c r="AA640" s="49"/>
      <c r="AB640" s="20"/>
    </row>
    <row r="641" spans="1:28" ht="15.75" customHeight="1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8"/>
      <c r="K641" s="47"/>
      <c r="L641" s="47"/>
      <c r="M641" s="47"/>
      <c r="N641" s="47"/>
      <c r="O641" s="47"/>
      <c r="P641" s="47"/>
      <c r="Q641" s="47"/>
      <c r="R641" s="47"/>
      <c r="S641" s="49"/>
      <c r="T641" s="49"/>
      <c r="U641" s="47"/>
      <c r="V641" s="50"/>
      <c r="W641" s="47"/>
      <c r="X641" s="47"/>
      <c r="Y641" s="47"/>
      <c r="Z641" s="49"/>
      <c r="AA641" s="49"/>
      <c r="AB641" s="20"/>
    </row>
    <row r="642" spans="1:28" ht="15.75" customHeight="1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8"/>
      <c r="K642" s="47"/>
      <c r="L642" s="47"/>
      <c r="M642" s="47"/>
      <c r="N642" s="47"/>
      <c r="O642" s="47"/>
      <c r="P642" s="47"/>
      <c r="Q642" s="47"/>
      <c r="R642" s="47"/>
      <c r="S642" s="49"/>
      <c r="T642" s="49"/>
      <c r="U642" s="47"/>
      <c r="V642" s="50"/>
      <c r="W642" s="47"/>
      <c r="X642" s="47"/>
      <c r="Y642" s="47"/>
      <c r="Z642" s="49"/>
      <c r="AA642" s="49"/>
      <c r="AB642" s="20"/>
    </row>
    <row r="643" spans="1:28" ht="15.75" customHeight="1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8"/>
      <c r="K643" s="47"/>
      <c r="L643" s="47"/>
      <c r="M643" s="47"/>
      <c r="N643" s="47"/>
      <c r="O643" s="47"/>
      <c r="P643" s="47"/>
      <c r="Q643" s="47"/>
      <c r="R643" s="47"/>
      <c r="S643" s="49"/>
      <c r="T643" s="49"/>
      <c r="U643" s="47"/>
      <c r="V643" s="50"/>
      <c r="W643" s="47"/>
      <c r="X643" s="47"/>
      <c r="Y643" s="47"/>
      <c r="Z643" s="49"/>
      <c r="AA643" s="49"/>
      <c r="AB643" s="20"/>
    </row>
    <row r="644" spans="1:28" ht="15.75" customHeight="1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8"/>
      <c r="K644" s="47"/>
      <c r="L644" s="47"/>
      <c r="M644" s="47"/>
      <c r="N644" s="47"/>
      <c r="O644" s="47"/>
      <c r="P644" s="47"/>
      <c r="Q644" s="47"/>
      <c r="R644" s="47"/>
      <c r="S644" s="49"/>
      <c r="T644" s="49"/>
      <c r="U644" s="47"/>
      <c r="V644" s="50"/>
      <c r="W644" s="47"/>
      <c r="X644" s="47"/>
      <c r="Y644" s="47"/>
      <c r="Z644" s="49"/>
      <c r="AA644" s="49"/>
      <c r="AB644" s="20"/>
    </row>
    <row r="645" spans="1:28" ht="15.75" customHeight="1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8"/>
      <c r="K645" s="47"/>
      <c r="L645" s="47"/>
      <c r="M645" s="47"/>
      <c r="N645" s="47"/>
      <c r="O645" s="47"/>
      <c r="P645" s="47"/>
      <c r="Q645" s="47"/>
      <c r="R645" s="47"/>
      <c r="S645" s="49"/>
      <c r="T645" s="49"/>
      <c r="U645" s="47"/>
      <c r="V645" s="50"/>
      <c r="W645" s="47"/>
      <c r="X645" s="47"/>
      <c r="Y645" s="47"/>
      <c r="Z645" s="49"/>
      <c r="AA645" s="49"/>
      <c r="AB645" s="20"/>
    </row>
    <row r="646" spans="1:28" ht="15.75" customHeight="1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8"/>
      <c r="K646" s="47"/>
      <c r="L646" s="47"/>
      <c r="M646" s="47"/>
      <c r="N646" s="47"/>
      <c r="O646" s="47"/>
      <c r="P646" s="47"/>
      <c r="Q646" s="47"/>
      <c r="R646" s="47"/>
      <c r="S646" s="49"/>
      <c r="T646" s="49"/>
      <c r="U646" s="47"/>
      <c r="V646" s="50"/>
      <c r="W646" s="47"/>
      <c r="X646" s="47"/>
      <c r="Y646" s="47"/>
      <c r="Z646" s="49"/>
      <c r="AA646" s="49"/>
      <c r="AB646" s="20"/>
    </row>
    <row r="647" spans="1:28" ht="15.75" customHeight="1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8"/>
      <c r="K647" s="47"/>
      <c r="L647" s="47"/>
      <c r="M647" s="47"/>
      <c r="N647" s="47"/>
      <c r="O647" s="47"/>
      <c r="P647" s="47"/>
      <c r="Q647" s="47"/>
      <c r="R647" s="47"/>
      <c r="S647" s="49"/>
      <c r="T647" s="49"/>
      <c r="U647" s="47"/>
      <c r="V647" s="50"/>
      <c r="W647" s="47"/>
      <c r="X647" s="47"/>
      <c r="Y647" s="47"/>
      <c r="Z647" s="49"/>
      <c r="AA647" s="49"/>
      <c r="AB647" s="20"/>
    </row>
    <row r="648" spans="1:28" ht="15.75" customHeight="1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8"/>
      <c r="K648" s="47"/>
      <c r="L648" s="47"/>
      <c r="M648" s="47"/>
      <c r="N648" s="47"/>
      <c r="O648" s="47"/>
      <c r="P648" s="47"/>
      <c r="Q648" s="47"/>
      <c r="R648" s="47"/>
      <c r="S648" s="49"/>
      <c r="T648" s="49"/>
      <c r="U648" s="47"/>
      <c r="V648" s="50"/>
      <c r="W648" s="47"/>
      <c r="X648" s="47"/>
      <c r="Y648" s="47"/>
      <c r="Z648" s="49"/>
      <c r="AA648" s="49"/>
      <c r="AB648" s="20"/>
    </row>
    <row r="649" spans="1:28" ht="15.75" customHeight="1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8"/>
      <c r="K649" s="47"/>
      <c r="L649" s="47"/>
      <c r="M649" s="47"/>
      <c r="N649" s="47"/>
      <c r="O649" s="47"/>
      <c r="P649" s="47"/>
      <c r="Q649" s="47"/>
      <c r="R649" s="47"/>
      <c r="S649" s="49"/>
      <c r="T649" s="49"/>
      <c r="U649" s="47"/>
      <c r="V649" s="50"/>
      <c r="W649" s="47"/>
      <c r="X649" s="47"/>
      <c r="Y649" s="47"/>
      <c r="Z649" s="49"/>
      <c r="AA649" s="49"/>
      <c r="AB649" s="20"/>
    </row>
    <row r="650" spans="1:28" ht="15.75" customHeight="1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8"/>
      <c r="K650" s="47"/>
      <c r="L650" s="47"/>
      <c r="M650" s="47"/>
      <c r="N650" s="47"/>
      <c r="O650" s="47"/>
      <c r="P650" s="47"/>
      <c r="Q650" s="47"/>
      <c r="R650" s="47"/>
      <c r="S650" s="49"/>
      <c r="T650" s="49"/>
      <c r="U650" s="47"/>
      <c r="V650" s="50"/>
      <c r="W650" s="47"/>
      <c r="X650" s="47"/>
      <c r="Y650" s="47"/>
      <c r="Z650" s="49"/>
      <c r="AA650" s="49"/>
      <c r="AB650" s="20"/>
    </row>
    <row r="651" spans="1:28" ht="15.75" customHeight="1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8"/>
      <c r="K651" s="47"/>
      <c r="L651" s="47"/>
      <c r="M651" s="47"/>
      <c r="N651" s="47"/>
      <c r="O651" s="47"/>
      <c r="P651" s="47"/>
      <c r="Q651" s="47"/>
      <c r="R651" s="47"/>
      <c r="S651" s="49"/>
      <c r="T651" s="49"/>
      <c r="U651" s="47"/>
      <c r="V651" s="50"/>
      <c r="W651" s="47"/>
      <c r="X651" s="47"/>
      <c r="Y651" s="47"/>
      <c r="Z651" s="49"/>
      <c r="AA651" s="49"/>
      <c r="AB651" s="20"/>
    </row>
    <row r="652" spans="1:28" ht="15.75" customHeight="1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8"/>
      <c r="K652" s="47"/>
      <c r="L652" s="47"/>
      <c r="M652" s="47"/>
      <c r="N652" s="47"/>
      <c r="O652" s="47"/>
      <c r="P652" s="47"/>
      <c r="Q652" s="47"/>
      <c r="R652" s="47"/>
      <c r="S652" s="49"/>
      <c r="T652" s="49"/>
      <c r="U652" s="47"/>
      <c r="V652" s="50"/>
      <c r="W652" s="47"/>
      <c r="X652" s="47"/>
      <c r="Y652" s="47"/>
      <c r="Z652" s="49"/>
      <c r="AA652" s="49"/>
      <c r="AB652" s="20"/>
    </row>
    <row r="653" spans="1:28" ht="15.75" customHeight="1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8"/>
      <c r="K653" s="47"/>
      <c r="L653" s="47"/>
      <c r="M653" s="47"/>
      <c r="N653" s="47"/>
      <c r="O653" s="47"/>
      <c r="P653" s="47"/>
      <c r="Q653" s="47"/>
      <c r="R653" s="47"/>
      <c r="S653" s="49"/>
      <c r="T653" s="49"/>
      <c r="U653" s="47"/>
      <c r="V653" s="50"/>
      <c r="W653" s="47"/>
      <c r="X653" s="47"/>
      <c r="Y653" s="47"/>
      <c r="Z653" s="49"/>
      <c r="AA653" s="49"/>
      <c r="AB653" s="20"/>
    </row>
    <row r="654" spans="1:28" ht="15.75" customHeight="1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8"/>
      <c r="K654" s="47"/>
      <c r="L654" s="47"/>
      <c r="M654" s="47"/>
      <c r="N654" s="47"/>
      <c r="O654" s="47"/>
      <c r="P654" s="47"/>
      <c r="Q654" s="47"/>
      <c r="R654" s="47"/>
      <c r="S654" s="49"/>
      <c r="T654" s="49"/>
      <c r="U654" s="47"/>
      <c r="V654" s="50"/>
      <c r="W654" s="47"/>
      <c r="X654" s="47"/>
      <c r="Y654" s="47"/>
      <c r="Z654" s="49"/>
      <c r="AA654" s="49"/>
      <c r="AB654" s="20"/>
    </row>
    <row r="655" spans="1:28" ht="15.75" customHeight="1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8"/>
      <c r="K655" s="47"/>
      <c r="L655" s="47"/>
      <c r="M655" s="47"/>
      <c r="N655" s="47"/>
      <c r="O655" s="47"/>
      <c r="P655" s="47"/>
      <c r="Q655" s="47"/>
      <c r="R655" s="47"/>
      <c r="S655" s="49"/>
      <c r="T655" s="49"/>
      <c r="U655" s="47"/>
      <c r="V655" s="50"/>
      <c r="W655" s="47"/>
      <c r="X655" s="47"/>
      <c r="Y655" s="47"/>
      <c r="Z655" s="49"/>
      <c r="AA655" s="49"/>
      <c r="AB655" s="20"/>
    </row>
    <row r="656" spans="1:28" ht="15.75" customHeight="1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8"/>
      <c r="K656" s="47"/>
      <c r="L656" s="47"/>
      <c r="M656" s="47"/>
      <c r="N656" s="47"/>
      <c r="O656" s="47"/>
      <c r="P656" s="47"/>
      <c r="Q656" s="47"/>
      <c r="R656" s="47"/>
      <c r="S656" s="49"/>
      <c r="T656" s="49"/>
      <c r="U656" s="47"/>
      <c r="V656" s="50"/>
      <c r="W656" s="47"/>
      <c r="X656" s="47"/>
      <c r="Y656" s="47"/>
      <c r="Z656" s="49"/>
      <c r="AA656" s="49"/>
      <c r="AB656" s="20"/>
    </row>
    <row r="657" spans="1:28" ht="15.75" customHeight="1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8"/>
      <c r="K657" s="47"/>
      <c r="L657" s="47"/>
      <c r="M657" s="47"/>
      <c r="N657" s="47"/>
      <c r="O657" s="47"/>
      <c r="P657" s="47"/>
      <c r="Q657" s="47"/>
      <c r="R657" s="47"/>
      <c r="S657" s="49"/>
      <c r="T657" s="49"/>
      <c r="U657" s="47"/>
      <c r="V657" s="50"/>
      <c r="W657" s="47"/>
      <c r="X657" s="47"/>
      <c r="Y657" s="47"/>
      <c r="Z657" s="49"/>
      <c r="AA657" s="49"/>
      <c r="AB657" s="20"/>
    </row>
    <row r="658" spans="1:28" ht="15.75" customHeight="1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8"/>
      <c r="K658" s="47"/>
      <c r="L658" s="47"/>
      <c r="M658" s="47"/>
      <c r="N658" s="47"/>
      <c r="O658" s="47"/>
      <c r="P658" s="47"/>
      <c r="Q658" s="47"/>
      <c r="R658" s="47"/>
      <c r="S658" s="49"/>
      <c r="T658" s="49"/>
      <c r="U658" s="47"/>
      <c r="V658" s="50"/>
      <c r="W658" s="47"/>
      <c r="X658" s="47"/>
      <c r="Y658" s="47"/>
      <c r="Z658" s="49"/>
      <c r="AA658" s="49"/>
      <c r="AB658" s="20"/>
    </row>
    <row r="659" spans="1:28" ht="15.75" customHeight="1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8"/>
      <c r="K659" s="47"/>
      <c r="L659" s="47"/>
      <c r="M659" s="47"/>
      <c r="N659" s="47"/>
      <c r="O659" s="47"/>
      <c r="P659" s="47"/>
      <c r="Q659" s="47"/>
      <c r="R659" s="47"/>
      <c r="S659" s="49"/>
      <c r="T659" s="49"/>
      <c r="U659" s="47"/>
      <c r="V659" s="50"/>
      <c r="W659" s="47"/>
      <c r="X659" s="47"/>
      <c r="Y659" s="47"/>
      <c r="Z659" s="49"/>
      <c r="AA659" s="49"/>
      <c r="AB659" s="20"/>
    </row>
    <row r="660" spans="1:28" ht="15.75" customHeight="1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8"/>
      <c r="K660" s="47"/>
      <c r="L660" s="47"/>
      <c r="M660" s="47"/>
      <c r="N660" s="47"/>
      <c r="O660" s="47"/>
      <c r="P660" s="47"/>
      <c r="Q660" s="47"/>
      <c r="R660" s="47"/>
      <c r="S660" s="49"/>
      <c r="T660" s="49"/>
      <c r="U660" s="47"/>
      <c r="V660" s="50"/>
      <c r="W660" s="47"/>
      <c r="X660" s="47"/>
      <c r="Y660" s="47"/>
      <c r="Z660" s="49"/>
      <c r="AA660" s="49"/>
      <c r="AB660" s="20"/>
    </row>
    <row r="661" spans="1:28" ht="15.75" customHeight="1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8"/>
      <c r="K661" s="47"/>
      <c r="L661" s="47"/>
      <c r="M661" s="47"/>
      <c r="N661" s="47"/>
      <c r="O661" s="47"/>
      <c r="P661" s="47"/>
      <c r="Q661" s="47"/>
      <c r="R661" s="47"/>
      <c r="S661" s="49"/>
      <c r="T661" s="49"/>
      <c r="U661" s="47"/>
      <c r="V661" s="50"/>
      <c r="W661" s="47"/>
      <c r="X661" s="47"/>
      <c r="Y661" s="47"/>
      <c r="Z661" s="49"/>
      <c r="AA661" s="49"/>
      <c r="AB661" s="20"/>
    </row>
    <row r="662" spans="1:28" ht="15.75" customHeight="1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8"/>
      <c r="K662" s="47"/>
      <c r="L662" s="47"/>
      <c r="M662" s="47"/>
      <c r="N662" s="47"/>
      <c r="O662" s="47"/>
      <c r="P662" s="47"/>
      <c r="Q662" s="47"/>
      <c r="R662" s="47"/>
      <c r="S662" s="49"/>
      <c r="T662" s="49"/>
      <c r="U662" s="47"/>
      <c r="V662" s="50"/>
      <c r="W662" s="47"/>
      <c r="X662" s="47"/>
      <c r="Y662" s="47"/>
      <c r="Z662" s="49"/>
      <c r="AA662" s="49"/>
      <c r="AB662" s="20"/>
    </row>
    <row r="663" spans="1:28" ht="15.75" customHeight="1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8"/>
      <c r="K663" s="47"/>
      <c r="L663" s="47"/>
      <c r="M663" s="47"/>
      <c r="N663" s="47"/>
      <c r="O663" s="47"/>
      <c r="P663" s="47"/>
      <c r="Q663" s="47"/>
      <c r="R663" s="47"/>
      <c r="S663" s="49"/>
      <c r="T663" s="49"/>
      <c r="U663" s="47"/>
      <c r="V663" s="50"/>
      <c r="W663" s="47"/>
      <c r="X663" s="47"/>
      <c r="Y663" s="47"/>
      <c r="Z663" s="49"/>
      <c r="AA663" s="49"/>
      <c r="AB663" s="20"/>
    </row>
    <row r="664" spans="1:28" ht="15.75" customHeight="1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8"/>
      <c r="K664" s="47"/>
      <c r="L664" s="47"/>
      <c r="M664" s="47"/>
      <c r="N664" s="47"/>
      <c r="O664" s="47"/>
      <c r="P664" s="47"/>
      <c r="Q664" s="47"/>
      <c r="R664" s="47"/>
      <c r="S664" s="49"/>
      <c r="T664" s="49"/>
      <c r="U664" s="47"/>
      <c r="V664" s="50"/>
      <c r="W664" s="47"/>
      <c r="X664" s="47"/>
      <c r="Y664" s="47"/>
      <c r="Z664" s="49"/>
      <c r="AA664" s="49"/>
      <c r="AB664" s="20"/>
    </row>
    <row r="665" spans="1:28" ht="15.75" customHeight="1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8"/>
      <c r="K665" s="47"/>
      <c r="L665" s="47"/>
      <c r="M665" s="47"/>
      <c r="N665" s="47"/>
      <c r="O665" s="47"/>
      <c r="P665" s="47"/>
      <c r="Q665" s="47"/>
      <c r="R665" s="47"/>
      <c r="S665" s="49"/>
      <c r="T665" s="49"/>
      <c r="U665" s="47"/>
      <c r="V665" s="50"/>
      <c r="W665" s="47"/>
      <c r="X665" s="47"/>
      <c r="Y665" s="47"/>
      <c r="Z665" s="49"/>
      <c r="AA665" s="49"/>
      <c r="AB665" s="20"/>
    </row>
    <row r="666" spans="1:28" ht="15.75" customHeight="1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8"/>
      <c r="K666" s="47"/>
      <c r="L666" s="47"/>
      <c r="M666" s="47"/>
      <c r="N666" s="47"/>
      <c r="O666" s="47"/>
      <c r="P666" s="47"/>
      <c r="Q666" s="47"/>
      <c r="R666" s="47"/>
      <c r="S666" s="49"/>
      <c r="T666" s="49"/>
      <c r="U666" s="47"/>
      <c r="V666" s="50"/>
      <c r="W666" s="47"/>
      <c r="X666" s="47"/>
      <c r="Y666" s="47"/>
      <c r="Z666" s="49"/>
      <c r="AA666" s="49"/>
      <c r="AB666" s="20"/>
    </row>
    <row r="667" spans="1:28" ht="15.75" customHeight="1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8"/>
      <c r="K667" s="47"/>
      <c r="L667" s="47"/>
      <c r="M667" s="47"/>
      <c r="N667" s="47"/>
      <c r="O667" s="47"/>
      <c r="P667" s="47"/>
      <c r="Q667" s="47"/>
      <c r="R667" s="47"/>
      <c r="S667" s="49"/>
      <c r="T667" s="49"/>
      <c r="U667" s="47"/>
      <c r="V667" s="50"/>
      <c r="W667" s="47"/>
      <c r="X667" s="47"/>
      <c r="Y667" s="47"/>
      <c r="Z667" s="49"/>
      <c r="AA667" s="49"/>
      <c r="AB667" s="20"/>
    </row>
    <row r="668" spans="1:28" ht="15.75" customHeight="1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8"/>
      <c r="K668" s="47"/>
      <c r="L668" s="47"/>
      <c r="M668" s="47"/>
      <c r="N668" s="47"/>
      <c r="O668" s="47"/>
      <c r="P668" s="47"/>
      <c r="Q668" s="47"/>
      <c r="R668" s="47"/>
      <c r="S668" s="49"/>
      <c r="T668" s="49"/>
      <c r="U668" s="47"/>
      <c r="V668" s="50"/>
      <c r="W668" s="47"/>
      <c r="X668" s="47"/>
      <c r="Y668" s="47"/>
      <c r="Z668" s="49"/>
      <c r="AA668" s="49"/>
      <c r="AB668" s="20"/>
    </row>
    <row r="669" spans="1:28" ht="15.75" customHeight="1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8"/>
      <c r="K669" s="47"/>
      <c r="L669" s="47"/>
      <c r="M669" s="47"/>
      <c r="N669" s="47"/>
      <c r="O669" s="47"/>
      <c r="P669" s="47"/>
      <c r="Q669" s="47"/>
      <c r="R669" s="47"/>
      <c r="S669" s="49"/>
      <c r="T669" s="49"/>
      <c r="U669" s="47"/>
      <c r="V669" s="50"/>
      <c r="W669" s="47"/>
      <c r="X669" s="47"/>
      <c r="Y669" s="47"/>
      <c r="Z669" s="49"/>
      <c r="AA669" s="49"/>
      <c r="AB669" s="20"/>
    </row>
    <row r="670" spans="1:28" ht="15.75" customHeight="1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8"/>
      <c r="K670" s="47"/>
      <c r="L670" s="47"/>
      <c r="M670" s="47"/>
      <c r="N670" s="47"/>
      <c r="O670" s="47"/>
      <c r="P670" s="47"/>
      <c r="Q670" s="47"/>
      <c r="R670" s="47"/>
      <c r="S670" s="49"/>
      <c r="T670" s="49"/>
      <c r="U670" s="47"/>
      <c r="V670" s="50"/>
      <c r="W670" s="47"/>
      <c r="X670" s="47"/>
      <c r="Y670" s="47"/>
      <c r="Z670" s="49"/>
      <c r="AA670" s="49"/>
      <c r="AB670" s="20"/>
    </row>
    <row r="671" spans="1:28" ht="15.75" customHeight="1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8"/>
      <c r="K671" s="47"/>
      <c r="L671" s="47"/>
      <c r="M671" s="47"/>
      <c r="N671" s="47"/>
      <c r="O671" s="47"/>
      <c r="P671" s="47"/>
      <c r="Q671" s="47"/>
      <c r="R671" s="47"/>
      <c r="S671" s="49"/>
      <c r="T671" s="49"/>
      <c r="U671" s="47"/>
      <c r="V671" s="50"/>
      <c r="W671" s="47"/>
      <c r="X671" s="47"/>
      <c r="Y671" s="47"/>
      <c r="Z671" s="49"/>
      <c r="AA671" s="49"/>
      <c r="AB671" s="20"/>
    </row>
    <row r="672" spans="1:28" ht="15.75" customHeight="1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8"/>
      <c r="K672" s="47"/>
      <c r="L672" s="47"/>
      <c r="M672" s="47"/>
      <c r="N672" s="47"/>
      <c r="O672" s="47"/>
      <c r="P672" s="47"/>
      <c r="Q672" s="47"/>
      <c r="R672" s="47"/>
      <c r="S672" s="49"/>
      <c r="T672" s="49"/>
      <c r="U672" s="47"/>
      <c r="V672" s="50"/>
      <c r="W672" s="47"/>
      <c r="X672" s="47"/>
      <c r="Y672" s="47"/>
      <c r="Z672" s="49"/>
      <c r="AA672" s="49"/>
      <c r="AB672" s="20"/>
    </row>
    <row r="673" spans="1:28" ht="15.75" customHeight="1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8"/>
      <c r="K673" s="47"/>
      <c r="L673" s="47"/>
      <c r="M673" s="47"/>
      <c r="N673" s="47"/>
      <c r="O673" s="47"/>
      <c r="P673" s="47"/>
      <c r="Q673" s="47"/>
      <c r="R673" s="47"/>
      <c r="S673" s="49"/>
      <c r="T673" s="49"/>
      <c r="U673" s="47"/>
      <c r="V673" s="50"/>
      <c r="W673" s="47"/>
      <c r="X673" s="47"/>
      <c r="Y673" s="47"/>
      <c r="Z673" s="49"/>
      <c r="AA673" s="49"/>
      <c r="AB673" s="20"/>
    </row>
    <row r="674" spans="1:28" ht="15.75" customHeight="1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8"/>
      <c r="K674" s="47"/>
      <c r="L674" s="47"/>
      <c r="M674" s="47"/>
      <c r="N674" s="47"/>
      <c r="O674" s="47"/>
      <c r="P674" s="47"/>
      <c r="Q674" s="47"/>
      <c r="R674" s="47"/>
      <c r="S674" s="49"/>
      <c r="T674" s="49"/>
      <c r="U674" s="47"/>
      <c r="V674" s="50"/>
      <c r="W674" s="47"/>
      <c r="X674" s="47"/>
      <c r="Y674" s="47"/>
      <c r="Z674" s="49"/>
      <c r="AA674" s="49"/>
      <c r="AB674" s="20"/>
    </row>
    <row r="675" spans="1:28" ht="15.75" customHeight="1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8"/>
      <c r="K675" s="47"/>
      <c r="L675" s="47"/>
      <c r="M675" s="47"/>
      <c r="N675" s="47"/>
      <c r="O675" s="47"/>
      <c r="P675" s="47"/>
      <c r="Q675" s="47"/>
      <c r="R675" s="47"/>
      <c r="S675" s="49"/>
      <c r="T675" s="49"/>
      <c r="U675" s="47"/>
      <c r="V675" s="50"/>
      <c r="W675" s="47"/>
      <c r="X675" s="47"/>
      <c r="Y675" s="47"/>
      <c r="Z675" s="49"/>
      <c r="AA675" s="49"/>
      <c r="AB675" s="20"/>
    </row>
    <row r="676" spans="1:28" ht="15.75" customHeight="1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8"/>
      <c r="K676" s="47"/>
      <c r="L676" s="47"/>
      <c r="M676" s="47"/>
      <c r="N676" s="47"/>
      <c r="O676" s="47"/>
      <c r="P676" s="47"/>
      <c r="Q676" s="47"/>
      <c r="R676" s="47"/>
      <c r="S676" s="49"/>
      <c r="T676" s="49"/>
      <c r="U676" s="47"/>
      <c r="V676" s="50"/>
      <c r="W676" s="47"/>
      <c r="X676" s="47"/>
      <c r="Y676" s="47"/>
      <c r="Z676" s="49"/>
      <c r="AA676" s="49"/>
      <c r="AB676" s="20"/>
    </row>
    <row r="677" spans="1:28" ht="15.75" customHeight="1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8"/>
      <c r="K677" s="47"/>
      <c r="L677" s="47"/>
      <c r="M677" s="47"/>
      <c r="N677" s="47"/>
      <c r="O677" s="47"/>
      <c r="P677" s="47"/>
      <c r="Q677" s="47"/>
      <c r="R677" s="47"/>
      <c r="S677" s="49"/>
      <c r="T677" s="49"/>
      <c r="U677" s="47"/>
      <c r="V677" s="50"/>
      <c r="W677" s="47"/>
      <c r="X677" s="47"/>
      <c r="Y677" s="47"/>
      <c r="Z677" s="49"/>
      <c r="AA677" s="49"/>
      <c r="AB677" s="20"/>
    </row>
    <row r="678" spans="1:28" ht="15.75" customHeight="1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8"/>
      <c r="K678" s="47"/>
      <c r="L678" s="47"/>
      <c r="M678" s="47"/>
      <c r="N678" s="47"/>
      <c r="O678" s="47"/>
      <c r="P678" s="47"/>
      <c r="Q678" s="47"/>
      <c r="R678" s="47"/>
      <c r="S678" s="49"/>
      <c r="T678" s="49"/>
      <c r="U678" s="47"/>
      <c r="V678" s="50"/>
      <c r="W678" s="47"/>
      <c r="X678" s="47"/>
      <c r="Y678" s="47"/>
      <c r="Z678" s="49"/>
      <c r="AA678" s="49"/>
      <c r="AB678" s="20"/>
    </row>
    <row r="679" spans="1:28" ht="15.75" customHeight="1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8"/>
      <c r="K679" s="47"/>
      <c r="L679" s="47"/>
      <c r="M679" s="47"/>
      <c r="N679" s="47"/>
      <c r="O679" s="47"/>
      <c r="P679" s="47"/>
      <c r="Q679" s="47"/>
      <c r="R679" s="47"/>
      <c r="S679" s="49"/>
      <c r="T679" s="49"/>
      <c r="U679" s="47"/>
      <c r="V679" s="50"/>
      <c r="W679" s="47"/>
      <c r="X679" s="47"/>
      <c r="Y679" s="47"/>
      <c r="Z679" s="49"/>
      <c r="AA679" s="49"/>
      <c r="AB679" s="20"/>
    </row>
    <row r="680" spans="1:28" ht="15.75" customHeight="1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8"/>
      <c r="K680" s="47"/>
      <c r="L680" s="47"/>
      <c r="M680" s="47"/>
      <c r="N680" s="47"/>
      <c r="O680" s="47"/>
      <c r="P680" s="47"/>
      <c r="Q680" s="47"/>
      <c r="R680" s="47"/>
      <c r="S680" s="49"/>
      <c r="T680" s="49"/>
      <c r="U680" s="47"/>
      <c r="V680" s="50"/>
      <c r="W680" s="47"/>
      <c r="X680" s="47"/>
      <c r="Y680" s="47"/>
      <c r="Z680" s="49"/>
      <c r="AA680" s="49"/>
      <c r="AB680" s="20"/>
    </row>
    <row r="681" spans="1:28" ht="15.75" customHeight="1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8"/>
      <c r="K681" s="47"/>
      <c r="L681" s="47"/>
      <c r="M681" s="47"/>
      <c r="N681" s="47"/>
      <c r="O681" s="47"/>
      <c r="P681" s="47"/>
      <c r="Q681" s="47"/>
      <c r="R681" s="47"/>
      <c r="S681" s="49"/>
      <c r="T681" s="49"/>
      <c r="U681" s="47"/>
      <c r="V681" s="50"/>
      <c r="W681" s="47"/>
      <c r="X681" s="47"/>
      <c r="Y681" s="47"/>
      <c r="Z681" s="49"/>
      <c r="AA681" s="49"/>
      <c r="AB681" s="20"/>
    </row>
    <row r="682" spans="1:28" ht="15.75" customHeight="1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8"/>
      <c r="K682" s="47"/>
      <c r="L682" s="47"/>
      <c r="M682" s="47"/>
      <c r="N682" s="47"/>
      <c r="O682" s="47"/>
      <c r="P682" s="47"/>
      <c r="Q682" s="47"/>
      <c r="R682" s="47"/>
      <c r="S682" s="49"/>
      <c r="T682" s="49"/>
      <c r="U682" s="47"/>
      <c r="V682" s="50"/>
      <c r="W682" s="47"/>
      <c r="X682" s="47"/>
      <c r="Y682" s="47"/>
      <c r="Z682" s="49"/>
      <c r="AA682" s="49"/>
      <c r="AB682" s="20"/>
    </row>
    <row r="683" spans="1:28" ht="15.75" customHeight="1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8"/>
      <c r="K683" s="47"/>
      <c r="L683" s="47"/>
      <c r="M683" s="47"/>
      <c r="N683" s="47"/>
      <c r="O683" s="47"/>
      <c r="P683" s="47"/>
      <c r="Q683" s="47"/>
      <c r="R683" s="47"/>
      <c r="S683" s="49"/>
      <c r="T683" s="49"/>
      <c r="U683" s="47"/>
      <c r="V683" s="50"/>
      <c r="W683" s="47"/>
      <c r="X683" s="47"/>
      <c r="Y683" s="47"/>
      <c r="Z683" s="49"/>
      <c r="AA683" s="49"/>
      <c r="AB683" s="20"/>
    </row>
    <row r="684" spans="1:28" ht="15.75" customHeight="1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8"/>
      <c r="K684" s="47"/>
      <c r="L684" s="47"/>
      <c r="M684" s="47"/>
      <c r="N684" s="47"/>
      <c r="O684" s="47"/>
      <c r="P684" s="47"/>
      <c r="Q684" s="47"/>
      <c r="R684" s="47"/>
      <c r="S684" s="49"/>
      <c r="T684" s="49"/>
      <c r="U684" s="47"/>
      <c r="V684" s="50"/>
      <c r="W684" s="47"/>
      <c r="X684" s="47"/>
      <c r="Y684" s="47"/>
      <c r="Z684" s="49"/>
      <c r="AA684" s="49"/>
      <c r="AB684" s="20"/>
    </row>
    <row r="685" spans="1:28" ht="15.75" customHeight="1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8"/>
      <c r="K685" s="47"/>
      <c r="L685" s="47"/>
      <c r="M685" s="47"/>
      <c r="N685" s="47"/>
      <c r="O685" s="47"/>
      <c r="P685" s="47"/>
      <c r="Q685" s="47"/>
      <c r="R685" s="47"/>
      <c r="S685" s="49"/>
      <c r="T685" s="49"/>
      <c r="U685" s="47"/>
      <c r="V685" s="50"/>
      <c r="W685" s="47"/>
      <c r="X685" s="47"/>
      <c r="Y685" s="47"/>
      <c r="Z685" s="49"/>
      <c r="AA685" s="49"/>
      <c r="AB685" s="20"/>
    </row>
    <row r="686" spans="1:28" ht="15.75" customHeight="1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8"/>
      <c r="K686" s="47"/>
      <c r="L686" s="47"/>
      <c r="M686" s="47"/>
      <c r="N686" s="47"/>
      <c r="O686" s="47"/>
      <c r="P686" s="47"/>
      <c r="Q686" s="47"/>
      <c r="R686" s="47"/>
      <c r="S686" s="49"/>
      <c r="T686" s="49"/>
      <c r="U686" s="47"/>
      <c r="V686" s="50"/>
      <c r="W686" s="47"/>
      <c r="X686" s="47"/>
      <c r="Y686" s="47"/>
      <c r="Z686" s="49"/>
      <c r="AA686" s="49"/>
      <c r="AB686" s="20"/>
    </row>
    <row r="687" spans="1:28" ht="15.75" customHeight="1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8"/>
      <c r="K687" s="47"/>
      <c r="L687" s="47"/>
      <c r="M687" s="47"/>
      <c r="N687" s="47"/>
      <c r="O687" s="47"/>
      <c r="P687" s="47"/>
      <c r="Q687" s="47"/>
      <c r="R687" s="47"/>
      <c r="S687" s="49"/>
      <c r="T687" s="49"/>
      <c r="U687" s="47"/>
      <c r="V687" s="50"/>
      <c r="W687" s="47"/>
      <c r="X687" s="47"/>
      <c r="Y687" s="47"/>
      <c r="Z687" s="49"/>
      <c r="AA687" s="49"/>
      <c r="AB687" s="20"/>
    </row>
    <row r="688" spans="1:28" ht="15.75" customHeight="1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8"/>
      <c r="K688" s="47"/>
      <c r="L688" s="47"/>
      <c r="M688" s="47"/>
      <c r="N688" s="47"/>
      <c r="O688" s="47"/>
      <c r="P688" s="47"/>
      <c r="Q688" s="47"/>
      <c r="R688" s="47"/>
      <c r="S688" s="49"/>
      <c r="T688" s="49"/>
      <c r="U688" s="47"/>
      <c r="V688" s="50"/>
      <c r="W688" s="47"/>
      <c r="X688" s="47"/>
      <c r="Y688" s="47"/>
      <c r="Z688" s="49"/>
      <c r="AA688" s="49"/>
      <c r="AB688" s="20"/>
    </row>
    <row r="689" spans="1:28" ht="15.75" customHeight="1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8"/>
      <c r="K689" s="47"/>
      <c r="L689" s="47"/>
      <c r="M689" s="47"/>
      <c r="N689" s="47"/>
      <c r="O689" s="47"/>
      <c r="P689" s="47"/>
      <c r="Q689" s="47"/>
      <c r="R689" s="47"/>
      <c r="S689" s="49"/>
      <c r="T689" s="49"/>
      <c r="U689" s="47"/>
      <c r="V689" s="50"/>
      <c r="W689" s="47"/>
      <c r="X689" s="47"/>
      <c r="Y689" s="47"/>
      <c r="Z689" s="49"/>
      <c r="AA689" s="49"/>
      <c r="AB689" s="20"/>
    </row>
    <row r="690" spans="1:28" ht="15.75" customHeight="1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8"/>
      <c r="K690" s="47"/>
      <c r="L690" s="47"/>
      <c r="M690" s="47"/>
      <c r="N690" s="47"/>
      <c r="O690" s="47"/>
      <c r="P690" s="47"/>
      <c r="Q690" s="47"/>
      <c r="R690" s="47"/>
      <c r="S690" s="49"/>
      <c r="T690" s="49"/>
      <c r="U690" s="47"/>
      <c r="V690" s="50"/>
      <c r="W690" s="47"/>
      <c r="X690" s="47"/>
      <c r="Y690" s="47"/>
      <c r="Z690" s="49"/>
      <c r="AA690" s="49"/>
      <c r="AB690" s="20"/>
    </row>
    <row r="691" spans="1:28" ht="15.75" customHeight="1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8"/>
      <c r="K691" s="47"/>
      <c r="L691" s="47"/>
      <c r="M691" s="47"/>
      <c r="N691" s="47"/>
      <c r="O691" s="47"/>
      <c r="P691" s="47"/>
      <c r="Q691" s="47"/>
      <c r="R691" s="47"/>
      <c r="S691" s="49"/>
      <c r="T691" s="49"/>
      <c r="U691" s="47"/>
      <c r="V691" s="50"/>
      <c r="W691" s="47"/>
      <c r="X691" s="47"/>
      <c r="Y691" s="47"/>
      <c r="Z691" s="49"/>
      <c r="AA691" s="49"/>
      <c r="AB691" s="20"/>
    </row>
    <row r="692" spans="1:28" ht="15.75" customHeight="1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8"/>
      <c r="K692" s="47"/>
      <c r="L692" s="47"/>
      <c r="M692" s="47"/>
      <c r="N692" s="47"/>
      <c r="O692" s="47"/>
      <c r="P692" s="47"/>
      <c r="Q692" s="47"/>
      <c r="R692" s="47"/>
      <c r="S692" s="49"/>
      <c r="T692" s="49"/>
      <c r="U692" s="47"/>
      <c r="V692" s="50"/>
      <c r="W692" s="47"/>
      <c r="X692" s="47"/>
      <c r="Y692" s="47"/>
      <c r="Z692" s="49"/>
      <c r="AA692" s="49"/>
      <c r="AB692" s="20"/>
    </row>
    <row r="693" spans="1:28" ht="15.75" customHeight="1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8"/>
      <c r="K693" s="47"/>
      <c r="L693" s="47"/>
      <c r="M693" s="47"/>
      <c r="N693" s="47"/>
      <c r="O693" s="47"/>
      <c r="P693" s="47"/>
      <c r="Q693" s="47"/>
      <c r="R693" s="47"/>
      <c r="S693" s="49"/>
      <c r="T693" s="49"/>
      <c r="U693" s="47"/>
      <c r="V693" s="50"/>
      <c r="W693" s="47"/>
      <c r="X693" s="47"/>
      <c r="Y693" s="47"/>
      <c r="Z693" s="49"/>
      <c r="AA693" s="49"/>
      <c r="AB693" s="20"/>
    </row>
    <row r="694" spans="1:28" ht="15.75" customHeight="1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8"/>
      <c r="K694" s="47"/>
      <c r="L694" s="47"/>
      <c r="M694" s="47"/>
      <c r="N694" s="47"/>
      <c r="O694" s="47"/>
      <c r="P694" s="47"/>
      <c r="Q694" s="47"/>
      <c r="R694" s="47"/>
      <c r="S694" s="49"/>
      <c r="T694" s="49"/>
      <c r="U694" s="47"/>
      <c r="V694" s="50"/>
      <c r="W694" s="47"/>
      <c r="X694" s="47"/>
      <c r="Y694" s="47"/>
      <c r="Z694" s="49"/>
      <c r="AA694" s="49"/>
      <c r="AB694" s="20"/>
    </row>
    <row r="695" spans="1:28" ht="15.75" customHeight="1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8"/>
      <c r="K695" s="47"/>
      <c r="L695" s="47"/>
      <c r="M695" s="47"/>
      <c r="N695" s="47"/>
      <c r="O695" s="47"/>
      <c r="P695" s="47"/>
      <c r="Q695" s="47"/>
      <c r="R695" s="47"/>
      <c r="S695" s="49"/>
      <c r="T695" s="49"/>
      <c r="U695" s="47"/>
      <c r="V695" s="50"/>
      <c r="W695" s="47"/>
      <c r="X695" s="47"/>
      <c r="Y695" s="47"/>
      <c r="Z695" s="49"/>
      <c r="AA695" s="49"/>
      <c r="AB695" s="20"/>
    </row>
    <row r="696" spans="1:28" ht="15.75" customHeight="1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8"/>
      <c r="K696" s="47"/>
      <c r="L696" s="47"/>
      <c r="M696" s="47"/>
      <c r="N696" s="47"/>
      <c r="O696" s="47"/>
      <c r="P696" s="47"/>
      <c r="Q696" s="47"/>
      <c r="R696" s="47"/>
      <c r="S696" s="49"/>
      <c r="T696" s="49"/>
      <c r="U696" s="47"/>
      <c r="V696" s="50"/>
      <c r="W696" s="47"/>
      <c r="X696" s="47"/>
      <c r="Y696" s="47"/>
      <c r="Z696" s="49"/>
      <c r="AA696" s="49"/>
      <c r="AB696" s="20"/>
    </row>
    <row r="697" spans="1:28" ht="15.75" customHeight="1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8"/>
      <c r="K697" s="47"/>
      <c r="L697" s="47"/>
      <c r="M697" s="47"/>
      <c r="N697" s="47"/>
      <c r="O697" s="47"/>
      <c r="P697" s="47"/>
      <c r="Q697" s="47"/>
      <c r="R697" s="47"/>
      <c r="S697" s="49"/>
      <c r="T697" s="49"/>
      <c r="U697" s="47"/>
      <c r="V697" s="50"/>
      <c r="W697" s="47"/>
      <c r="X697" s="47"/>
      <c r="Y697" s="47"/>
      <c r="Z697" s="49"/>
      <c r="AA697" s="49"/>
      <c r="AB697" s="20"/>
    </row>
    <row r="698" spans="1:28" ht="15.75" customHeight="1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8"/>
      <c r="K698" s="47"/>
      <c r="L698" s="47"/>
      <c r="M698" s="47"/>
      <c r="N698" s="47"/>
      <c r="O698" s="47"/>
      <c r="P698" s="47"/>
      <c r="Q698" s="47"/>
      <c r="R698" s="47"/>
      <c r="S698" s="49"/>
      <c r="T698" s="49"/>
      <c r="U698" s="47"/>
      <c r="V698" s="50"/>
      <c r="W698" s="47"/>
      <c r="X698" s="47"/>
      <c r="Y698" s="47"/>
      <c r="Z698" s="49"/>
      <c r="AA698" s="49"/>
      <c r="AB698" s="20"/>
    </row>
    <row r="699" spans="1:28" ht="15.75" customHeight="1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8"/>
      <c r="K699" s="47"/>
      <c r="L699" s="47"/>
      <c r="M699" s="47"/>
      <c r="N699" s="47"/>
      <c r="O699" s="47"/>
      <c r="P699" s="47"/>
      <c r="Q699" s="47"/>
      <c r="R699" s="47"/>
      <c r="S699" s="49"/>
      <c r="T699" s="49"/>
      <c r="U699" s="47"/>
      <c r="V699" s="50"/>
      <c r="W699" s="47"/>
      <c r="X699" s="47"/>
      <c r="Y699" s="47"/>
      <c r="Z699" s="49"/>
      <c r="AA699" s="49"/>
      <c r="AB699" s="20"/>
    </row>
    <row r="700" spans="1:28" ht="15.75" customHeight="1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8"/>
      <c r="K700" s="47"/>
      <c r="L700" s="47"/>
      <c r="M700" s="47"/>
      <c r="N700" s="47"/>
      <c r="O700" s="47"/>
      <c r="P700" s="47"/>
      <c r="Q700" s="47"/>
      <c r="R700" s="47"/>
      <c r="S700" s="49"/>
      <c r="T700" s="49"/>
      <c r="U700" s="47"/>
      <c r="V700" s="50"/>
      <c r="W700" s="47"/>
      <c r="X700" s="47"/>
      <c r="Y700" s="47"/>
      <c r="Z700" s="49"/>
      <c r="AA700" s="49"/>
      <c r="AB700" s="20"/>
    </row>
    <row r="701" spans="1:28" ht="15.75" customHeight="1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8"/>
      <c r="K701" s="47"/>
      <c r="L701" s="47"/>
      <c r="M701" s="47"/>
      <c r="N701" s="47"/>
      <c r="O701" s="47"/>
      <c r="P701" s="47"/>
      <c r="Q701" s="47"/>
      <c r="R701" s="47"/>
      <c r="S701" s="49"/>
      <c r="T701" s="49"/>
      <c r="U701" s="47"/>
      <c r="V701" s="50"/>
      <c r="W701" s="47"/>
      <c r="X701" s="47"/>
      <c r="Y701" s="47"/>
      <c r="Z701" s="49"/>
      <c r="AA701" s="49"/>
      <c r="AB701" s="20"/>
    </row>
    <row r="702" spans="1:28" ht="15.75" customHeight="1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8"/>
      <c r="K702" s="47"/>
      <c r="L702" s="47"/>
      <c r="M702" s="47"/>
      <c r="N702" s="47"/>
      <c r="O702" s="47"/>
      <c r="P702" s="47"/>
      <c r="Q702" s="47"/>
      <c r="R702" s="47"/>
      <c r="S702" s="49"/>
      <c r="T702" s="49"/>
      <c r="U702" s="47"/>
      <c r="V702" s="50"/>
      <c r="W702" s="47"/>
      <c r="X702" s="47"/>
      <c r="Y702" s="47"/>
      <c r="Z702" s="49"/>
      <c r="AA702" s="49"/>
      <c r="AB702" s="20"/>
    </row>
    <row r="703" spans="1:28" ht="15.75" customHeight="1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8"/>
      <c r="K703" s="47"/>
      <c r="L703" s="47"/>
      <c r="M703" s="47"/>
      <c r="N703" s="47"/>
      <c r="O703" s="47"/>
      <c r="P703" s="47"/>
      <c r="Q703" s="47"/>
      <c r="R703" s="47"/>
      <c r="S703" s="49"/>
      <c r="T703" s="49"/>
      <c r="U703" s="47"/>
      <c r="V703" s="50"/>
      <c r="W703" s="47"/>
      <c r="X703" s="47"/>
      <c r="Y703" s="47"/>
      <c r="Z703" s="49"/>
      <c r="AA703" s="49"/>
      <c r="AB703" s="20"/>
    </row>
    <row r="704" spans="1:28" ht="15.75" customHeight="1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8"/>
      <c r="K704" s="47"/>
      <c r="L704" s="47"/>
      <c r="M704" s="47"/>
      <c r="N704" s="47"/>
      <c r="O704" s="47"/>
      <c r="P704" s="47"/>
      <c r="Q704" s="47"/>
      <c r="R704" s="47"/>
      <c r="S704" s="49"/>
      <c r="T704" s="49"/>
      <c r="U704" s="47"/>
      <c r="V704" s="50"/>
      <c r="W704" s="47"/>
      <c r="X704" s="47"/>
      <c r="Y704" s="47"/>
      <c r="Z704" s="49"/>
      <c r="AA704" s="49"/>
      <c r="AB704" s="20"/>
    </row>
    <row r="705" spans="1:28" ht="15.75" customHeight="1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8"/>
      <c r="K705" s="47"/>
      <c r="L705" s="47"/>
      <c r="M705" s="47"/>
      <c r="N705" s="47"/>
      <c r="O705" s="47"/>
      <c r="P705" s="47"/>
      <c r="Q705" s="47"/>
      <c r="R705" s="47"/>
      <c r="S705" s="49"/>
      <c r="T705" s="49"/>
      <c r="U705" s="47"/>
      <c r="V705" s="50"/>
      <c r="W705" s="47"/>
      <c r="X705" s="47"/>
      <c r="Y705" s="47"/>
      <c r="Z705" s="49"/>
      <c r="AA705" s="49"/>
      <c r="AB705" s="20"/>
    </row>
    <row r="706" spans="1:28" ht="15.75" customHeight="1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8"/>
      <c r="K706" s="47"/>
      <c r="L706" s="47"/>
      <c r="M706" s="47"/>
      <c r="N706" s="47"/>
      <c r="O706" s="47"/>
      <c r="P706" s="47"/>
      <c r="Q706" s="47"/>
      <c r="R706" s="47"/>
      <c r="S706" s="49"/>
      <c r="T706" s="49"/>
      <c r="U706" s="47"/>
      <c r="V706" s="50"/>
      <c r="W706" s="47"/>
      <c r="X706" s="47"/>
      <c r="Y706" s="47"/>
      <c r="Z706" s="49"/>
      <c r="AA706" s="49"/>
      <c r="AB706" s="20"/>
    </row>
    <row r="707" spans="1:28" ht="15.75" customHeight="1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8"/>
      <c r="K707" s="47"/>
      <c r="L707" s="47"/>
      <c r="M707" s="47"/>
      <c r="N707" s="47"/>
      <c r="O707" s="47"/>
      <c r="P707" s="47"/>
      <c r="Q707" s="47"/>
      <c r="R707" s="47"/>
      <c r="S707" s="49"/>
      <c r="T707" s="49"/>
      <c r="U707" s="47"/>
      <c r="V707" s="50"/>
      <c r="W707" s="47"/>
      <c r="X707" s="47"/>
      <c r="Y707" s="47"/>
      <c r="Z707" s="49"/>
      <c r="AA707" s="49"/>
      <c r="AB707" s="20"/>
    </row>
    <row r="708" spans="1:28" ht="15.75" customHeight="1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8"/>
      <c r="K708" s="47"/>
      <c r="L708" s="47"/>
      <c r="M708" s="47"/>
      <c r="N708" s="47"/>
      <c r="O708" s="47"/>
      <c r="P708" s="47"/>
      <c r="Q708" s="47"/>
      <c r="R708" s="47"/>
      <c r="S708" s="49"/>
      <c r="T708" s="49"/>
      <c r="U708" s="47"/>
      <c r="V708" s="50"/>
      <c r="W708" s="47"/>
      <c r="X708" s="47"/>
      <c r="Y708" s="47"/>
      <c r="Z708" s="49"/>
      <c r="AA708" s="49"/>
      <c r="AB708" s="20"/>
    </row>
    <row r="709" spans="1:28" ht="15.75" customHeight="1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8"/>
      <c r="K709" s="47"/>
      <c r="L709" s="47"/>
      <c r="M709" s="47"/>
      <c r="N709" s="47"/>
      <c r="O709" s="47"/>
      <c r="P709" s="47"/>
      <c r="Q709" s="47"/>
      <c r="R709" s="47"/>
      <c r="S709" s="49"/>
      <c r="T709" s="49"/>
      <c r="U709" s="47"/>
      <c r="V709" s="50"/>
      <c r="W709" s="47"/>
      <c r="X709" s="47"/>
      <c r="Y709" s="47"/>
      <c r="Z709" s="49"/>
      <c r="AA709" s="49"/>
      <c r="AB709" s="20"/>
    </row>
    <row r="710" spans="1:28" ht="15.75" customHeight="1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8"/>
      <c r="K710" s="47"/>
      <c r="L710" s="47"/>
      <c r="M710" s="47"/>
      <c r="N710" s="47"/>
      <c r="O710" s="47"/>
      <c r="P710" s="47"/>
      <c r="Q710" s="47"/>
      <c r="R710" s="47"/>
      <c r="S710" s="49"/>
      <c r="T710" s="49"/>
      <c r="U710" s="47"/>
      <c r="V710" s="50"/>
      <c r="W710" s="47"/>
      <c r="X710" s="47"/>
      <c r="Y710" s="47"/>
      <c r="Z710" s="49"/>
      <c r="AA710" s="49"/>
      <c r="AB710" s="20"/>
    </row>
    <row r="711" spans="1:28" ht="15.75" customHeight="1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8"/>
      <c r="K711" s="47"/>
      <c r="L711" s="47"/>
      <c r="M711" s="47"/>
      <c r="N711" s="47"/>
      <c r="O711" s="47"/>
      <c r="P711" s="47"/>
      <c r="Q711" s="47"/>
      <c r="R711" s="47"/>
      <c r="S711" s="49"/>
      <c r="T711" s="49"/>
      <c r="U711" s="47"/>
      <c r="V711" s="50"/>
      <c r="W711" s="47"/>
      <c r="X711" s="47"/>
      <c r="Y711" s="47"/>
      <c r="Z711" s="49"/>
      <c r="AA711" s="49"/>
      <c r="AB711" s="20"/>
    </row>
    <row r="712" spans="1:28" ht="15.75" customHeight="1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8"/>
      <c r="K712" s="47"/>
      <c r="L712" s="47"/>
      <c r="M712" s="47"/>
      <c r="N712" s="47"/>
      <c r="O712" s="47"/>
      <c r="P712" s="47"/>
      <c r="Q712" s="47"/>
      <c r="R712" s="47"/>
      <c r="S712" s="49"/>
      <c r="T712" s="49"/>
      <c r="U712" s="47"/>
      <c r="V712" s="50"/>
      <c r="W712" s="47"/>
      <c r="X712" s="47"/>
      <c r="Y712" s="47"/>
      <c r="Z712" s="49"/>
      <c r="AA712" s="49"/>
      <c r="AB712" s="20"/>
    </row>
    <row r="713" spans="1:28" ht="15.75" customHeight="1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8"/>
      <c r="K713" s="47"/>
      <c r="L713" s="47"/>
      <c r="M713" s="47"/>
      <c r="N713" s="47"/>
      <c r="O713" s="47"/>
      <c r="P713" s="47"/>
      <c r="Q713" s="47"/>
      <c r="R713" s="47"/>
      <c r="S713" s="49"/>
      <c r="T713" s="49"/>
      <c r="U713" s="47"/>
      <c r="V713" s="50"/>
      <c r="W713" s="47"/>
      <c r="X713" s="47"/>
      <c r="Y713" s="47"/>
      <c r="Z713" s="49"/>
      <c r="AA713" s="49"/>
      <c r="AB713" s="20"/>
    </row>
    <row r="714" spans="1:28" ht="15.75" customHeight="1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8"/>
      <c r="K714" s="47"/>
      <c r="L714" s="47"/>
      <c r="M714" s="47"/>
      <c r="N714" s="47"/>
      <c r="O714" s="47"/>
      <c r="P714" s="47"/>
      <c r="Q714" s="47"/>
      <c r="R714" s="47"/>
      <c r="S714" s="49"/>
      <c r="T714" s="49"/>
      <c r="U714" s="47"/>
      <c r="V714" s="50"/>
      <c r="W714" s="47"/>
      <c r="X714" s="47"/>
      <c r="Y714" s="47"/>
      <c r="Z714" s="49"/>
      <c r="AA714" s="49"/>
      <c r="AB714" s="20"/>
    </row>
    <row r="715" spans="1:28" ht="15.75" customHeight="1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8"/>
      <c r="K715" s="47"/>
      <c r="L715" s="47"/>
      <c r="M715" s="47"/>
      <c r="N715" s="47"/>
      <c r="O715" s="47"/>
      <c r="P715" s="47"/>
      <c r="Q715" s="47"/>
      <c r="R715" s="47"/>
      <c r="S715" s="49"/>
      <c r="T715" s="49"/>
      <c r="U715" s="47"/>
      <c r="V715" s="50"/>
      <c r="W715" s="47"/>
      <c r="X715" s="47"/>
      <c r="Y715" s="47"/>
      <c r="Z715" s="49"/>
      <c r="AA715" s="49"/>
      <c r="AB715" s="20"/>
    </row>
    <row r="716" spans="1:28" ht="15.75" customHeight="1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8"/>
      <c r="K716" s="47"/>
      <c r="L716" s="47"/>
      <c r="M716" s="47"/>
      <c r="N716" s="47"/>
      <c r="O716" s="47"/>
      <c r="P716" s="47"/>
      <c r="Q716" s="47"/>
      <c r="R716" s="47"/>
      <c r="S716" s="49"/>
      <c r="T716" s="49"/>
      <c r="U716" s="47"/>
      <c r="V716" s="50"/>
      <c r="W716" s="47"/>
      <c r="X716" s="47"/>
      <c r="Y716" s="47"/>
      <c r="Z716" s="49"/>
      <c r="AA716" s="49"/>
      <c r="AB716" s="20"/>
    </row>
    <row r="717" spans="1:28" ht="15.75" customHeight="1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8"/>
      <c r="K717" s="47"/>
      <c r="L717" s="47"/>
      <c r="M717" s="47"/>
      <c r="N717" s="47"/>
      <c r="O717" s="47"/>
      <c r="P717" s="47"/>
      <c r="Q717" s="47"/>
      <c r="R717" s="47"/>
      <c r="S717" s="49"/>
      <c r="T717" s="49"/>
      <c r="U717" s="47"/>
      <c r="V717" s="50"/>
      <c r="W717" s="47"/>
      <c r="X717" s="47"/>
      <c r="Y717" s="47"/>
      <c r="Z717" s="49"/>
      <c r="AA717" s="49"/>
      <c r="AB717" s="20"/>
    </row>
    <row r="718" spans="1:28" ht="15.75" customHeight="1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8"/>
      <c r="K718" s="47"/>
      <c r="L718" s="47"/>
      <c r="M718" s="47"/>
      <c r="N718" s="47"/>
      <c r="O718" s="47"/>
      <c r="P718" s="47"/>
      <c r="Q718" s="47"/>
      <c r="R718" s="47"/>
      <c r="S718" s="49"/>
      <c r="T718" s="49"/>
      <c r="U718" s="47"/>
      <c r="V718" s="50"/>
      <c r="W718" s="47"/>
      <c r="X718" s="47"/>
      <c r="Y718" s="47"/>
      <c r="Z718" s="49"/>
      <c r="AA718" s="49"/>
      <c r="AB718" s="20"/>
    </row>
    <row r="719" spans="1:28" ht="15.75" customHeight="1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8"/>
      <c r="K719" s="47"/>
      <c r="L719" s="47"/>
      <c r="M719" s="47"/>
      <c r="N719" s="47"/>
      <c r="O719" s="47"/>
      <c r="P719" s="47"/>
      <c r="Q719" s="47"/>
      <c r="R719" s="47"/>
      <c r="S719" s="49"/>
      <c r="T719" s="49"/>
      <c r="U719" s="47"/>
      <c r="V719" s="50"/>
      <c r="W719" s="47"/>
      <c r="X719" s="47"/>
      <c r="Y719" s="47"/>
      <c r="Z719" s="49"/>
      <c r="AA719" s="49"/>
      <c r="AB719" s="20"/>
    </row>
    <row r="720" spans="1:28" ht="15.75" customHeight="1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8"/>
      <c r="K720" s="47"/>
      <c r="L720" s="47"/>
      <c r="M720" s="47"/>
      <c r="N720" s="47"/>
      <c r="O720" s="47"/>
      <c r="P720" s="47"/>
      <c r="Q720" s="47"/>
      <c r="R720" s="47"/>
      <c r="S720" s="49"/>
      <c r="T720" s="49"/>
      <c r="U720" s="47"/>
      <c r="V720" s="50"/>
      <c r="W720" s="47"/>
      <c r="X720" s="47"/>
      <c r="Y720" s="47"/>
      <c r="Z720" s="49"/>
      <c r="AA720" s="49"/>
      <c r="AB720" s="20"/>
    </row>
    <row r="721" spans="1:28" ht="15.75" customHeight="1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8"/>
      <c r="K721" s="47"/>
      <c r="L721" s="47"/>
      <c r="M721" s="47"/>
      <c r="N721" s="47"/>
      <c r="O721" s="47"/>
      <c r="P721" s="47"/>
      <c r="Q721" s="47"/>
      <c r="R721" s="47"/>
      <c r="S721" s="49"/>
      <c r="T721" s="49"/>
      <c r="U721" s="47"/>
      <c r="V721" s="50"/>
      <c r="W721" s="47"/>
      <c r="X721" s="47"/>
      <c r="Y721" s="47"/>
      <c r="Z721" s="49"/>
      <c r="AA721" s="49"/>
      <c r="AB721" s="20"/>
    </row>
    <row r="722" spans="1:28" ht="15.75" customHeight="1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8"/>
      <c r="K722" s="47"/>
      <c r="L722" s="47"/>
      <c r="M722" s="47"/>
      <c r="N722" s="47"/>
      <c r="O722" s="47"/>
      <c r="P722" s="47"/>
      <c r="Q722" s="47"/>
      <c r="R722" s="47"/>
      <c r="S722" s="49"/>
      <c r="T722" s="49"/>
      <c r="U722" s="47"/>
      <c r="V722" s="50"/>
      <c r="W722" s="47"/>
      <c r="X722" s="47"/>
      <c r="Y722" s="47"/>
      <c r="Z722" s="49"/>
      <c r="AA722" s="49"/>
      <c r="AB722" s="20"/>
    </row>
    <row r="723" spans="1:28" ht="15.75" customHeight="1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8"/>
      <c r="K723" s="47"/>
      <c r="L723" s="47"/>
      <c r="M723" s="47"/>
      <c r="N723" s="47"/>
      <c r="O723" s="47"/>
      <c r="P723" s="47"/>
      <c r="Q723" s="47"/>
      <c r="R723" s="47"/>
      <c r="S723" s="49"/>
      <c r="T723" s="49"/>
      <c r="U723" s="47"/>
      <c r="V723" s="50"/>
      <c r="W723" s="47"/>
      <c r="X723" s="47"/>
      <c r="Y723" s="47"/>
      <c r="Z723" s="49"/>
      <c r="AA723" s="49"/>
      <c r="AB723" s="20"/>
    </row>
    <row r="724" spans="1:28" ht="15.75" customHeight="1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8"/>
      <c r="K724" s="47"/>
      <c r="L724" s="47"/>
      <c r="M724" s="47"/>
      <c r="N724" s="47"/>
      <c r="O724" s="47"/>
      <c r="P724" s="47"/>
      <c r="Q724" s="47"/>
      <c r="R724" s="47"/>
      <c r="S724" s="49"/>
      <c r="T724" s="49"/>
      <c r="U724" s="47"/>
      <c r="V724" s="50"/>
      <c r="W724" s="47"/>
      <c r="X724" s="47"/>
      <c r="Y724" s="47"/>
      <c r="Z724" s="49"/>
      <c r="AA724" s="49"/>
      <c r="AB724" s="20"/>
    </row>
    <row r="725" spans="1:28" ht="15.75" customHeight="1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8"/>
      <c r="K725" s="47"/>
      <c r="L725" s="47"/>
      <c r="M725" s="47"/>
      <c r="N725" s="47"/>
      <c r="O725" s="47"/>
      <c r="P725" s="47"/>
      <c r="Q725" s="47"/>
      <c r="R725" s="47"/>
      <c r="S725" s="49"/>
      <c r="T725" s="49"/>
      <c r="U725" s="47"/>
      <c r="V725" s="50"/>
      <c r="W725" s="47"/>
      <c r="X725" s="47"/>
      <c r="Y725" s="47"/>
      <c r="Z725" s="49"/>
      <c r="AA725" s="49"/>
      <c r="AB725" s="20"/>
    </row>
    <row r="726" spans="1:28" ht="15.75" customHeight="1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8"/>
      <c r="K726" s="47"/>
      <c r="L726" s="47"/>
      <c r="M726" s="47"/>
      <c r="N726" s="47"/>
      <c r="O726" s="47"/>
      <c r="P726" s="47"/>
      <c r="Q726" s="47"/>
      <c r="R726" s="47"/>
      <c r="S726" s="49"/>
      <c r="T726" s="49"/>
      <c r="U726" s="47"/>
      <c r="V726" s="50"/>
      <c r="W726" s="47"/>
      <c r="X726" s="47"/>
      <c r="Y726" s="47"/>
      <c r="Z726" s="49"/>
      <c r="AA726" s="49"/>
      <c r="AB726" s="20"/>
    </row>
    <row r="727" spans="1:28" ht="15.75" customHeight="1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8"/>
      <c r="K727" s="47"/>
      <c r="L727" s="47"/>
      <c r="M727" s="47"/>
      <c r="N727" s="47"/>
      <c r="O727" s="47"/>
      <c r="P727" s="47"/>
      <c r="Q727" s="47"/>
      <c r="R727" s="47"/>
      <c r="S727" s="49"/>
      <c r="T727" s="49"/>
      <c r="U727" s="47"/>
      <c r="V727" s="50"/>
      <c r="W727" s="47"/>
      <c r="X727" s="47"/>
      <c r="Y727" s="47"/>
      <c r="Z727" s="49"/>
      <c r="AA727" s="49"/>
      <c r="AB727" s="20"/>
    </row>
    <row r="728" spans="1:28" ht="15.75" customHeight="1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8"/>
      <c r="K728" s="47"/>
      <c r="L728" s="47"/>
      <c r="M728" s="47"/>
      <c r="N728" s="47"/>
      <c r="O728" s="47"/>
      <c r="P728" s="47"/>
      <c r="Q728" s="47"/>
      <c r="R728" s="47"/>
      <c r="S728" s="49"/>
      <c r="T728" s="49"/>
      <c r="U728" s="47"/>
      <c r="V728" s="50"/>
      <c r="W728" s="47"/>
      <c r="X728" s="47"/>
      <c r="Y728" s="47"/>
      <c r="Z728" s="49"/>
      <c r="AA728" s="49"/>
      <c r="AB728" s="20"/>
    </row>
    <row r="729" spans="1:28" ht="15.75" customHeight="1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8"/>
      <c r="K729" s="47"/>
      <c r="L729" s="47"/>
      <c r="M729" s="47"/>
      <c r="N729" s="47"/>
      <c r="O729" s="47"/>
      <c r="P729" s="47"/>
      <c r="Q729" s="47"/>
      <c r="R729" s="47"/>
      <c r="S729" s="49"/>
      <c r="T729" s="49"/>
      <c r="U729" s="47"/>
      <c r="V729" s="50"/>
      <c r="W729" s="47"/>
      <c r="X729" s="47"/>
      <c r="Y729" s="47"/>
      <c r="Z729" s="49"/>
      <c r="AA729" s="49"/>
      <c r="AB729" s="20"/>
    </row>
    <row r="730" spans="1:28" ht="15.75" customHeight="1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8"/>
      <c r="K730" s="47"/>
      <c r="L730" s="47"/>
      <c r="M730" s="47"/>
      <c r="N730" s="47"/>
      <c r="O730" s="47"/>
      <c r="P730" s="47"/>
      <c r="Q730" s="47"/>
      <c r="R730" s="47"/>
      <c r="S730" s="49"/>
      <c r="T730" s="49"/>
      <c r="U730" s="47"/>
      <c r="V730" s="50"/>
      <c r="W730" s="47"/>
      <c r="X730" s="47"/>
      <c r="Y730" s="47"/>
      <c r="Z730" s="49"/>
      <c r="AA730" s="49"/>
      <c r="AB730" s="20"/>
    </row>
    <row r="731" spans="1:28" ht="15.75" customHeight="1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8"/>
      <c r="K731" s="47"/>
      <c r="L731" s="47"/>
      <c r="M731" s="47"/>
      <c r="N731" s="47"/>
      <c r="O731" s="47"/>
      <c r="P731" s="47"/>
      <c r="Q731" s="47"/>
      <c r="R731" s="47"/>
      <c r="S731" s="49"/>
      <c r="T731" s="49"/>
      <c r="U731" s="47"/>
      <c r="V731" s="50"/>
      <c r="W731" s="47"/>
      <c r="X731" s="47"/>
      <c r="Y731" s="47"/>
      <c r="Z731" s="49"/>
      <c r="AA731" s="49"/>
      <c r="AB731" s="20"/>
    </row>
    <row r="732" spans="1:28" ht="15.75" customHeight="1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8"/>
      <c r="K732" s="47"/>
      <c r="L732" s="47"/>
      <c r="M732" s="47"/>
      <c r="N732" s="47"/>
      <c r="O732" s="47"/>
      <c r="P732" s="47"/>
      <c r="Q732" s="47"/>
      <c r="R732" s="47"/>
      <c r="S732" s="49"/>
      <c r="T732" s="49"/>
      <c r="U732" s="47"/>
      <c r="V732" s="50"/>
      <c r="W732" s="47"/>
      <c r="X732" s="47"/>
      <c r="Y732" s="47"/>
      <c r="Z732" s="49"/>
      <c r="AA732" s="49"/>
      <c r="AB732" s="20"/>
    </row>
    <row r="733" spans="1:28" ht="15.75" customHeight="1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8"/>
      <c r="K733" s="47"/>
      <c r="L733" s="47"/>
      <c r="M733" s="47"/>
      <c r="N733" s="47"/>
      <c r="O733" s="47"/>
      <c r="P733" s="47"/>
      <c r="Q733" s="47"/>
      <c r="R733" s="47"/>
      <c r="S733" s="49"/>
      <c r="T733" s="49"/>
      <c r="U733" s="47"/>
      <c r="V733" s="50"/>
      <c r="W733" s="47"/>
      <c r="X733" s="47"/>
      <c r="Y733" s="47"/>
      <c r="Z733" s="49"/>
      <c r="AA733" s="49"/>
      <c r="AB733" s="20"/>
    </row>
    <row r="734" spans="1:28" ht="15.75" customHeight="1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8"/>
      <c r="K734" s="47"/>
      <c r="L734" s="47"/>
      <c r="M734" s="47"/>
      <c r="N734" s="47"/>
      <c r="O734" s="47"/>
      <c r="P734" s="47"/>
      <c r="Q734" s="47"/>
      <c r="R734" s="47"/>
      <c r="S734" s="49"/>
      <c r="T734" s="49"/>
      <c r="U734" s="47"/>
      <c r="V734" s="50"/>
      <c r="W734" s="47"/>
      <c r="X734" s="47"/>
      <c r="Y734" s="47"/>
      <c r="Z734" s="49"/>
      <c r="AA734" s="49"/>
      <c r="AB734" s="20"/>
    </row>
    <row r="735" spans="1:28" ht="15.75" customHeight="1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8"/>
      <c r="K735" s="47"/>
      <c r="L735" s="47"/>
      <c r="M735" s="47"/>
      <c r="N735" s="47"/>
      <c r="O735" s="47"/>
      <c r="P735" s="47"/>
      <c r="Q735" s="47"/>
      <c r="R735" s="47"/>
      <c r="S735" s="49"/>
      <c r="T735" s="49"/>
      <c r="U735" s="47"/>
      <c r="V735" s="50"/>
      <c r="W735" s="47"/>
      <c r="X735" s="47"/>
      <c r="Y735" s="47"/>
      <c r="Z735" s="49"/>
      <c r="AA735" s="49"/>
      <c r="AB735" s="20"/>
    </row>
    <row r="736" spans="1:28" ht="15.75" customHeight="1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8"/>
      <c r="K736" s="47"/>
      <c r="L736" s="47"/>
      <c r="M736" s="47"/>
      <c r="N736" s="47"/>
      <c r="O736" s="47"/>
      <c r="P736" s="47"/>
      <c r="Q736" s="47"/>
      <c r="R736" s="47"/>
      <c r="S736" s="49"/>
      <c r="T736" s="49"/>
      <c r="U736" s="47"/>
      <c r="V736" s="50"/>
      <c r="W736" s="47"/>
      <c r="X736" s="47"/>
      <c r="Y736" s="47"/>
      <c r="Z736" s="49"/>
      <c r="AA736" s="49"/>
      <c r="AB736" s="20"/>
    </row>
    <row r="737" spans="1:28" ht="15.75" customHeight="1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8"/>
      <c r="K737" s="47"/>
      <c r="L737" s="47"/>
      <c r="M737" s="47"/>
      <c r="N737" s="47"/>
      <c r="O737" s="47"/>
      <c r="P737" s="47"/>
      <c r="Q737" s="47"/>
      <c r="R737" s="47"/>
      <c r="S737" s="49"/>
      <c r="T737" s="49"/>
      <c r="U737" s="47"/>
      <c r="V737" s="50"/>
      <c r="W737" s="47"/>
      <c r="X737" s="47"/>
      <c r="Y737" s="47"/>
      <c r="Z737" s="49"/>
      <c r="AA737" s="49"/>
      <c r="AB737" s="20"/>
    </row>
    <row r="738" spans="1:28" ht="15.75" customHeight="1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8"/>
      <c r="K738" s="47"/>
      <c r="L738" s="47"/>
      <c r="M738" s="47"/>
      <c r="N738" s="47"/>
      <c r="O738" s="47"/>
      <c r="P738" s="47"/>
      <c r="Q738" s="47"/>
      <c r="R738" s="47"/>
      <c r="S738" s="49"/>
      <c r="T738" s="49"/>
      <c r="U738" s="47"/>
      <c r="V738" s="50"/>
      <c r="W738" s="47"/>
      <c r="X738" s="47"/>
      <c r="Y738" s="47"/>
      <c r="Z738" s="49"/>
      <c r="AA738" s="49"/>
      <c r="AB738" s="20"/>
    </row>
    <row r="739" spans="1:28" ht="15.75" customHeight="1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8"/>
      <c r="K739" s="47"/>
      <c r="L739" s="47"/>
      <c r="M739" s="47"/>
      <c r="N739" s="47"/>
      <c r="O739" s="47"/>
      <c r="P739" s="47"/>
      <c r="Q739" s="47"/>
      <c r="R739" s="47"/>
      <c r="S739" s="49"/>
      <c r="T739" s="49"/>
      <c r="U739" s="47"/>
      <c r="V739" s="50"/>
      <c r="W739" s="47"/>
      <c r="X739" s="47"/>
      <c r="Y739" s="47"/>
      <c r="Z739" s="49"/>
      <c r="AA739" s="49"/>
      <c r="AB739" s="20"/>
    </row>
    <row r="740" spans="1:28" ht="15.75" customHeight="1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8"/>
      <c r="K740" s="47"/>
      <c r="L740" s="47"/>
      <c r="M740" s="47"/>
      <c r="N740" s="47"/>
      <c r="O740" s="47"/>
      <c r="P740" s="47"/>
      <c r="Q740" s="47"/>
      <c r="R740" s="47"/>
      <c r="S740" s="49"/>
      <c r="T740" s="49"/>
      <c r="U740" s="47"/>
      <c r="V740" s="50"/>
      <c r="W740" s="47"/>
      <c r="X740" s="47"/>
      <c r="Y740" s="47"/>
      <c r="Z740" s="49"/>
      <c r="AA740" s="49"/>
      <c r="AB740" s="20"/>
    </row>
    <row r="741" spans="1:28" ht="15.75" customHeight="1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8"/>
      <c r="K741" s="47"/>
      <c r="L741" s="47"/>
      <c r="M741" s="47"/>
      <c r="N741" s="47"/>
      <c r="O741" s="47"/>
      <c r="P741" s="47"/>
      <c r="Q741" s="47"/>
      <c r="R741" s="47"/>
      <c r="S741" s="49"/>
      <c r="T741" s="49"/>
      <c r="U741" s="47"/>
      <c r="V741" s="50"/>
      <c r="W741" s="47"/>
      <c r="X741" s="47"/>
      <c r="Y741" s="47"/>
      <c r="Z741" s="49"/>
      <c r="AA741" s="49"/>
      <c r="AB741" s="20"/>
    </row>
    <row r="742" spans="1:28" ht="15.75" customHeight="1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8"/>
      <c r="K742" s="47"/>
      <c r="L742" s="47"/>
      <c r="M742" s="47"/>
      <c r="N742" s="47"/>
      <c r="O742" s="47"/>
      <c r="P742" s="47"/>
      <c r="Q742" s="47"/>
      <c r="R742" s="47"/>
      <c r="S742" s="49"/>
      <c r="T742" s="49"/>
      <c r="U742" s="47"/>
      <c r="V742" s="50"/>
      <c r="W742" s="47"/>
      <c r="X742" s="47"/>
      <c r="Y742" s="47"/>
      <c r="Z742" s="49"/>
      <c r="AA742" s="49"/>
      <c r="AB742" s="20"/>
    </row>
    <row r="743" spans="1:28" ht="15.75" customHeight="1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8"/>
      <c r="K743" s="47"/>
      <c r="L743" s="47"/>
      <c r="M743" s="47"/>
      <c r="N743" s="47"/>
      <c r="O743" s="47"/>
      <c r="P743" s="47"/>
      <c r="Q743" s="47"/>
      <c r="R743" s="47"/>
      <c r="S743" s="49"/>
      <c r="T743" s="49"/>
      <c r="U743" s="47"/>
      <c r="V743" s="50"/>
      <c r="W743" s="47"/>
      <c r="X743" s="47"/>
      <c r="Y743" s="47"/>
      <c r="Z743" s="49"/>
      <c r="AA743" s="49"/>
      <c r="AB743" s="20"/>
    </row>
    <row r="744" spans="1:28" ht="15.75" customHeight="1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8"/>
      <c r="K744" s="47"/>
      <c r="L744" s="47"/>
      <c r="M744" s="47"/>
      <c r="N744" s="47"/>
      <c r="O744" s="47"/>
      <c r="P744" s="47"/>
      <c r="Q744" s="47"/>
      <c r="R744" s="47"/>
      <c r="S744" s="49"/>
      <c r="T744" s="49"/>
      <c r="U744" s="47"/>
      <c r="V744" s="50"/>
      <c r="W744" s="47"/>
      <c r="X744" s="47"/>
      <c r="Y744" s="47"/>
      <c r="Z744" s="49"/>
      <c r="AA744" s="49"/>
      <c r="AB744" s="20"/>
    </row>
    <row r="745" spans="1:28" ht="15.75" customHeight="1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8"/>
      <c r="K745" s="47"/>
      <c r="L745" s="47"/>
      <c r="M745" s="47"/>
      <c r="N745" s="47"/>
      <c r="O745" s="47"/>
      <c r="P745" s="47"/>
      <c r="Q745" s="47"/>
      <c r="R745" s="47"/>
      <c r="S745" s="49"/>
      <c r="T745" s="49"/>
      <c r="U745" s="47"/>
      <c r="V745" s="50"/>
      <c r="W745" s="47"/>
      <c r="X745" s="47"/>
      <c r="Y745" s="47"/>
      <c r="Z745" s="49"/>
      <c r="AA745" s="49"/>
      <c r="AB745" s="20"/>
    </row>
    <row r="746" spans="1:28" ht="15.75" customHeight="1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8"/>
      <c r="K746" s="47"/>
      <c r="L746" s="47"/>
      <c r="M746" s="47"/>
      <c r="N746" s="47"/>
      <c r="O746" s="47"/>
      <c r="P746" s="47"/>
      <c r="Q746" s="47"/>
      <c r="R746" s="47"/>
      <c r="S746" s="49"/>
      <c r="T746" s="49"/>
      <c r="U746" s="47"/>
      <c r="V746" s="50"/>
      <c r="W746" s="47"/>
      <c r="X746" s="47"/>
      <c r="Y746" s="47"/>
      <c r="Z746" s="49"/>
      <c r="AA746" s="49"/>
      <c r="AB746" s="20"/>
    </row>
    <row r="747" spans="1:28" ht="15.75" customHeight="1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8"/>
      <c r="K747" s="47"/>
      <c r="L747" s="47"/>
      <c r="M747" s="47"/>
      <c r="N747" s="47"/>
      <c r="O747" s="47"/>
      <c r="P747" s="47"/>
      <c r="Q747" s="47"/>
      <c r="R747" s="47"/>
      <c r="S747" s="49"/>
      <c r="T747" s="49"/>
      <c r="U747" s="47"/>
      <c r="V747" s="50"/>
      <c r="W747" s="47"/>
      <c r="X747" s="47"/>
      <c r="Y747" s="47"/>
      <c r="Z747" s="49"/>
      <c r="AA747" s="49"/>
      <c r="AB747" s="20"/>
    </row>
    <row r="748" spans="1:28" ht="15.75" customHeight="1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8"/>
      <c r="K748" s="47"/>
      <c r="L748" s="47"/>
      <c r="M748" s="47"/>
      <c r="N748" s="47"/>
      <c r="O748" s="47"/>
      <c r="P748" s="47"/>
      <c r="Q748" s="47"/>
      <c r="R748" s="47"/>
      <c r="S748" s="49"/>
      <c r="T748" s="49"/>
      <c r="U748" s="47"/>
      <c r="V748" s="50"/>
      <c r="W748" s="47"/>
      <c r="X748" s="47"/>
      <c r="Y748" s="47"/>
      <c r="Z748" s="49"/>
      <c r="AA748" s="49"/>
      <c r="AB748" s="20"/>
    </row>
    <row r="749" spans="1:28" ht="15.75" customHeight="1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8"/>
      <c r="K749" s="47"/>
      <c r="L749" s="47"/>
      <c r="M749" s="47"/>
      <c r="N749" s="47"/>
      <c r="O749" s="47"/>
      <c r="P749" s="47"/>
      <c r="Q749" s="47"/>
      <c r="R749" s="47"/>
      <c r="S749" s="49"/>
      <c r="T749" s="49"/>
      <c r="U749" s="47"/>
      <c r="V749" s="50"/>
      <c r="W749" s="47"/>
      <c r="X749" s="47"/>
      <c r="Y749" s="47"/>
      <c r="Z749" s="49"/>
      <c r="AA749" s="49"/>
      <c r="AB749" s="20"/>
    </row>
    <row r="750" spans="1:28" ht="15.75" customHeight="1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8"/>
      <c r="K750" s="47"/>
      <c r="L750" s="47"/>
      <c r="M750" s="47"/>
      <c r="N750" s="47"/>
      <c r="O750" s="47"/>
      <c r="P750" s="47"/>
      <c r="Q750" s="47"/>
      <c r="R750" s="47"/>
      <c r="S750" s="49"/>
      <c r="T750" s="49"/>
      <c r="U750" s="47"/>
      <c r="V750" s="50"/>
      <c r="W750" s="47"/>
      <c r="X750" s="47"/>
      <c r="Y750" s="47"/>
      <c r="Z750" s="49"/>
      <c r="AA750" s="49"/>
      <c r="AB750" s="20"/>
    </row>
    <row r="751" spans="1:28" ht="15.75" customHeight="1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8"/>
      <c r="K751" s="47"/>
      <c r="L751" s="47"/>
      <c r="M751" s="47"/>
      <c r="N751" s="47"/>
      <c r="O751" s="47"/>
      <c r="P751" s="47"/>
      <c r="Q751" s="47"/>
      <c r="R751" s="47"/>
      <c r="S751" s="49"/>
      <c r="T751" s="49"/>
      <c r="U751" s="47"/>
      <c r="V751" s="50"/>
      <c r="W751" s="47"/>
      <c r="X751" s="47"/>
      <c r="Y751" s="47"/>
      <c r="Z751" s="49"/>
      <c r="AA751" s="49"/>
      <c r="AB751" s="20"/>
    </row>
    <row r="752" spans="1:28" ht="15.75" customHeight="1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8"/>
      <c r="K752" s="47"/>
      <c r="L752" s="47"/>
      <c r="M752" s="47"/>
      <c r="N752" s="47"/>
      <c r="O752" s="47"/>
      <c r="P752" s="47"/>
      <c r="Q752" s="47"/>
      <c r="R752" s="47"/>
      <c r="S752" s="49"/>
      <c r="T752" s="49"/>
      <c r="U752" s="47"/>
      <c r="V752" s="50"/>
      <c r="W752" s="47"/>
      <c r="X752" s="47"/>
      <c r="Y752" s="47"/>
      <c r="Z752" s="49"/>
      <c r="AA752" s="49"/>
      <c r="AB752" s="20"/>
    </row>
    <row r="753" spans="1:28" ht="15.75" customHeight="1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8"/>
      <c r="K753" s="47"/>
      <c r="L753" s="47"/>
      <c r="M753" s="47"/>
      <c r="N753" s="47"/>
      <c r="O753" s="47"/>
      <c r="P753" s="47"/>
      <c r="Q753" s="47"/>
      <c r="R753" s="47"/>
      <c r="S753" s="49"/>
      <c r="T753" s="49"/>
      <c r="U753" s="47"/>
      <c r="V753" s="50"/>
      <c r="W753" s="47"/>
      <c r="X753" s="47"/>
      <c r="Y753" s="47"/>
      <c r="Z753" s="49"/>
      <c r="AA753" s="49"/>
      <c r="AB753" s="20"/>
    </row>
    <row r="754" spans="1:28" ht="15.75" customHeight="1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8"/>
      <c r="K754" s="47"/>
      <c r="L754" s="47"/>
      <c r="M754" s="47"/>
      <c r="N754" s="47"/>
      <c r="O754" s="47"/>
      <c r="P754" s="47"/>
      <c r="Q754" s="47"/>
      <c r="R754" s="47"/>
      <c r="S754" s="49"/>
      <c r="T754" s="49"/>
      <c r="U754" s="47"/>
      <c r="V754" s="50"/>
      <c r="W754" s="47"/>
      <c r="X754" s="47"/>
      <c r="Y754" s="47"/>
      <c r="Z754" s="49"/>
      <c r="AA754" s="49"/>
      <c r="AB754" s="20"/>
    </row>
    <row r="755" spans="1:28" ht="15.75" customHeight="1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8"/>
      <c r="K755" s="47"/>
      <c r="L755" s="47"/>
      <c r="M755" s="47"/>
      <c r="N755" s="47"/>
      <c r="O755" s="47"/>
      <c r="P755" s="47"/>
      <c r="Q755" s="47"/>
      <c r="R755" s="47"/>
      <c r="S755" s="49"/>
      <c r="T755" s="49"/>
      <c r="U755" s="47"/>
      <c r="V755" s="50"/>
      <c r="W755" s="47"/>
      <c r="X755" s="47"/>
      <c r="Y755" s="47"/>
      <c r="Z755" s="49"/>
      <c r="AA755" s="49"/>
      <c r="AB755" s="20"/>
    </row>
    <row r="756" spans="1:28" ht="15.75" customHeight="1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8"/>
      <c r="K756" s="47"/>
      <c r="L756" s="47"/>
      <c r="M756" s="47"/>
      <c r="N756" s="47"/>
      <c r="O756" s="47"/>
      <c r="P756" s="47"/>
      <c r="Q756" s="47"/>
      <c r="R756" s="47"/>
      <c r="S756" s="49"/>
      <c r="T756" s="49"/>
      <c r="U756" s="47"/>
      <c r="V756" s="50"/>
      <c r="W756" s="47"/>
      <c r="X756" s="47"/>
      <c r="Y756" s="47"/>
      <c r="Z756" s="49"/>
      <c r="AA756" s="49"/>
      <c r="AB756" s="20"/>
    </row>
    <row r="757" spans="1:28" ht="15.75" customHeight="1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8"/>
      <c r="K757" s="47"/>
      <c r="L757" s="47"/>
      <c r="M757" s="47"/>
      <c r="N757" s="47"/>
      <c r="O757" s="47"/>
      <c r="P757" s="47"/>
      <c r="Q757" s="47"/>
      <c r="R757" s="47"/>
      <c r="S757" s="49"/>
      <c r="T757" s="49"/>
      <c r="U757" s="47"/>
      <c r="V757" s="50"/>
      <c r="W757" s="47"/>
      <c r="X757" s="47"/>
      <c r="Y757" s="47"/>
      <c r="Z757" s="49"/>
      <c r="AA757" s="49"/>
      <c r="AB757" s="20"/>
    </row>
    <row r="758" spans="1:28" ht="15.75" customHeight="1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8"/>
      <c r="K758" s="47"/>
      <c r="L758" s="47"/>
      <c r="M758" s="47"/>
      <c r="N758" s="47"/>
      <c r="O758" s="47"/>
      <c r="P758" s="47"/>
      <c r="Q758" s="47"/>
      <c r="R758" s="47"/>
      <c r="S758" s="49"/>
      <c r="T758" s="49"/>
      <c r="U758" s="47"/>
      <c r="V758" s="50"/>
      <c r="W758" s="47"/>
      <c r="X758" s="47"/>
      <c r="Y758" s="47"/>
      <c r="Z758" s="49"/>
      <c r="AA758" s="49"/>
      <c r="AB758" s="20"/>
    </row>
    <row r="759" spans="1:28" ht="15.75" customHeight="1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8"/>
      <c r="K759" s="47"/>
      <c r="L759" s="47"/>
      <c r="M759" s="47"/>
      <c r="N759" s="47"/>
      <c r="O759" s="47"/>
      <c r="P759" s="47"/>
      <c r="Q759" s="47"/>
      <c r="R759" s="47"/>
      <c r="S759" s="49"/>
      <c r="T759" s="49"/>
      <c r="U759" s="47"/>
      <c r="V759" s="50"/>
      <c r="W759" s="47"/>
      <c r="X759" s="47"/>
      <c r="Y759" s="47"/>
      <c r="Z759" s="49"/>
      <c r="AA759" s="49"/>
      <c r="AB759" s="20"/>
    </row>
    <row r="760" spans="1:28" ht="15.75" customHeight="1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8"/>
      <c r="K760" s="47"/>
      <c r="L760" s="47"/>
      <c r="M760" s="47"/>
      <c r="N760" s="47"/>
      <c r="O760" s="47"/>
      <c r="P760" s="47"/>
      <c r="Q760" s="47"/>
      <c r="R760" s="47"/>
      <c r="S760" s="49"/>
      <c r="T760" s="49"/>
      <c r="U760" s="47"/>
      <c r="V760" s="50"/>
      <c r="W760" s="47"/>
      <c r="X760" s="47"/>
      <c r="Y760" s="47"/>
      <c r="Z760" s="49"/>
      <c r="AA760" s="49"/>
      <c r="AB760" s="20"/>
    </row>
    <row r="761" spans="1:28" ht="15.75" customHeight="1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8"/>
      <c r="K761" s="47"/>
      <c r="L761" s="47"/>
      <c r="M761" s="47"/>
      <c r="N761" s="47"/>
      <c r="O761" s="47"/>
      <c r="P761" s="47"/>
      <c r="Q761" s="47"/>
      <c r="R761" s="47"/>
      <c r="S761" s="49"/>
      <c r="T761" s="49"/>
      <c r="U761" s="47"/>
      <c r="V761" s="50"/>
      <c r="W761" s="47"/>
      <c r="X761" s="47"/>
      <c r="Y761" s="47"/>
      <c r="Z761" s="49"/>
      <c r="AA761" s="49"/>
      <c r="AB761" s="20"/>
    </row>
    <row r="762" spans="1:28" ht="15.75" customHeight="1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8"/>
      <c r="K762" s="47"/>
      <c r="L762" s="47"/>
      <c r="M762" s="47"/>
      <c r="N762" s="47"/>
      <c r="O762" s="47"/>
      <c r="P762" s="47"/>
      <c r="Q762" s="47"/>
      <c r="R762" s="47"/>
      <c r="S762" s="49"/>
      <c r="T762" s="49"/>
      <c r="U762" s="47"/>
      <c r="V762" s="50"/>
      <c r="W762" s="47"/>
      <c r="X762" s="47"/>
      <c r="Y762" s="47"/>
      <c r="Z762" s="49"/>
      <c r="AA762" s="49"/>
      <c r="AB762" s="20"/>
    </row>
    <row r="763" spans="1:28" ht="15.75" customHeight="1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8"/>
      <c r="K763" s="47"/>
      <c r="L763" s="47"/>
      <c r="M763" s="47"/>
      <c r="N763" s="47"/>
      <c r="O763" s="47"/>
      <c r="P763" s="47"/>
      <c r="Q763" s="47"/>
      <c r="R763" s="47"/>
      <c r="S763" s="49"/>
      <c r="T763" s="49"/>
      <c r="U763" s="47"/>
      <c r="V763" s="50"/>
      <c r="W763" s="47"/>
      <c r="X763" s="47"/>
      <c r="Y763" s="47"/>
      <c r="Z763" s="49"/>
      <c r="AA763" s="49"/>
      <c r="AB763" s="20"/>
    </row>
    <row r="764" spans="1:28" ht="15.75" customHeight="1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8"/>
      <c r="K764" s="47"/>
      <c r="L764" s="47"/>
      <c r="M764" s="47"/>
      <c r="N764" s="47"/>
      <c r="O764" s="47"/>
      <c r="P764" s="47"/>
      <c r="Q764" s="47"/>
      <c r="R764" s="47"/>
      <c r="S764" s="49"/>
      <c r="T764" s="49"/>
      <c r="U764" s="47"/>
      <c r="V764" s="50"/>
      <c r="W764" s="47"/>
      <c r="X764" s="47"/>
      <c r="Y764" s="47"/>
      <c r="Z764" s="49"/>
      <c r="AA764" s="49"/>
      <c r="AB764" s="20"/>
    </row>
    <row r="765" spans="1:28" ht="15.75" customHeight="1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8"/>
      <c r="K765" s="47"/>
      <c r="L765" s="47"/>
      <c r="M765" s="47"/>
      <c r="N765" s="47"/>
      <c r="O765" s="47"/>
      <c r="P765" s="47"/>
      <c r="Q765" s="47"/>
      <c r="R765" s="47"/>
      <c r="S765" s="49"/>
      <c r="T765" s="49"/>
      <c r="U765" s="47"/>
      <c r="V765" s="50"/>
      <c r="W765" s="47"/>
      <c r="X765" s="47"/>
      <c r="Y765" s="47"/>
      <c r="Z765" s="49"/>
      <c r="AA765" s="49"/>
      <c r="AB765" s="20"/>
    </row>
    <row r="766" spans="1:28" ht="15.75" customHeight="1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8"/>
      <c r="K766" s="47"/>
      <c r="L766" s="47"/>
      <c r="M766" s="47"/>
      <c r="N766" s="47"/>
      <c r="O766" s="47"/>
      <c r="P766" s="47"/>
      <c r="Q766" s="47"/>
      <c r="R766" s="47"/>
      <c r="S766" s="49"/>
      <c r="T766" s="49"/>
      <c r="U766" s="47"/>
      <c r="V766" s="50"/>
      <c r="W766" s="47"/>
      <c r="X766" s="47"/>
      <c r="Y766" s="47"/>
      <c r="Z766" s="49"/>
      <c r="AA766" s="49"/>
      <c r="AB766" s="20"/>
    </row>
    <row r="767" spans="1:28" ht="15.75" customHeight="1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8"/>
      <c r="K767" s="47"/>
      <c r="L767" s="47"/>
      <c r="M767" s="47"/>
      <c r="N767" s="47"/>
      <c r="O767" s="47"/>
      <c r="P767" s="47"/>
      <c r="Q767" s="47"/>
      <c r="R767" s="47"/>
      <c r="S767" s="49"/>
      <c r="T767" s="49"/>
      <c r="U767" s="47"/>
      <c r="V767" s="50"/>
      <c r="W767" s="47"/>
      <c r="X767" s="47"/>
      <c r="Y767" s="47"/>
      <c r="Z767" s="49"/>
      <c r="AA767" s="49"/>
      <c r="AB767" s="20"/>
    </row>
    <row r="768" spans="1:28" ht="15.75" customHeight="1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8"/>
      <c r="K768" s="47"/>
      <c r="L768" s="47"/>
      <c r="M768" s="47"/>
      <c r="N768" s="47"/>
      <c r="O768" s="47"/>
      <c r="P768" s="47"/>
      <c r="Q768" s="47"/>
      <c r="R768" s="47"/>
      <c r="S768" s="49"/>
      <c r="T768" s="49"/>
      <c r="U768" s="47"/>
      <c r="V768" s="50"/>
      <c r="W768" s="47"/>
      <c r="X768" s="47"/>
      <c r="Y768" s="47"/>
      <c r="Z768" s="49"/>
      <c r="AA768" s="49"/>
      <c r="AB768" s="20"/>
    </row>
    <row r="769" spans="1:28" ht="15.75" customHeight="1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8"/>
      <c r="K769" s="47"/>
      <c r="L769" s="47"/>
      <c r="M769" s="47"/>
      <c r="N769" s="47"/>
      <c r="O769" s="47"/>
      <c r="P769" s="47"/>
      <c r="Q769" s="47"/>
      <c r="R769" s="47"/>
      <c r="S769" s="49"/>
      <c r="T769" s="49"/>
      <c r="U769" s="47"/>
      <c r="V769" s="50"/>
      <c r="W769" s="47"/>
      <c r="X769" s="47"/>
      <c r="Y769" s="47"/>
      <c r="Z769" s="49"/>
      <c r="AA769" s="49"/>
      <c r="AB769" s="20"/>
    </row>
    <row r="770" spans="1:28" ht="15.75" customHeight="1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8"/>
      <c r="K770" s="47"/>
      <c r="L770" s="47"/>
      <c r="M770" s="47"/>
      <c r="N770" s="47"/>
      <c r="O770" s="47"/>
      <c r="P770" s="47"/>
      <c r="Q770" s="47"/>
      <c r="R770" s="47"/>
      <c r="S770" s="49"/>
      <c r="T770" s="49"/>
      <c r="U770" s="47"/>
      <c r="V770" s="50"/>
      <c r="W770" s="47"/>
      <c r="X770" s="47"/>
      <c r="Y770" s="47"/>
      <c r="Z770" s="49"/>
      <c r="AA770" s="49"/>
      <c r="AB770" s="20"/>
    </row>
    <row r="771" spans="1:28" ht="15.75" customHeight="1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8"/>
      <c r="K771" s="47"/>
      <c r="L771" s="47"/>
      <c r="M771" s="47"/>
      <c r="N771" s="47"/>
      <c r="O771" s="47"/>
      <c r="P771" s="47"/>
      <c r="Q771" s="47"/>
      <c r="R771" s="47"/>
      <c r="S771" s="49"/>
      <c r="T771" s="49"/>
      <c r="U771" s="47"/>
      <c r="V771" s="50"/>
      <c r="W771" s="47"/>
      <c r="X771" s="47"/>
      <c r="Y771" s="47"/>
      <c r="Z771" s="49"/>
      <c r="AA771" s="49"/>
      <c r="AB771" s="20"/>
    </row>
    <row r="772" spans="1:28" ht="15.75" customHeight="1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8"/>
      <c r="K772" s="47"/>
      <c r="L772" s="47"/>
      <c r="M772" s="47"/>
      <c r="N772" s="47"/>
      <c r="O772" s="47"/>
      <c r="P772" s="47"/>
      <c r="Q772" s="47"/>
      <c r="R772" s="47"/>
      <c r="S772" s="49"/>
      <c r="T772" s="49"/>
      <c r="U772" s="47"/>
      <c r="V772" s="50"/>
      <c r="W772" s="47"/>
      <c r="X772" s="47"/>
      <c r="Y772" s="47"/>
      <c r="Z772" s="49"/>
      <c r="AA772" s="49"/>
      <c r="AB772" s="20"/>
    </row>
    <row r="773" spans="1:28" ht="15.75" customHeight="1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8"/>
      <c r="K773" s="47"/>
      <c r="L773" s="47"/>
      <c r="M773" s="47"/>
      <c r="N773" s="47"/>
      <c r="O773" s="47"/>
      <c r="P773" s="47"/>
      <c r="Q773" s="47"/>
      <c r="R773" s="47"/>
      <c r="S773" s="49"/>
      <c r="T773" s="49"/>
      <c r="U773" s="47"/>
      <c r="V773" s="50"/>
      <c r="W773" s="47"/>
      <c r="X773" s="47"/>
      <c r="Y773" s="47"/>
      <c r="Z773" s="49"/>
      <c r="AA773" s="49"/>
      <c r="AB773" s="20"/>
    </row>
    <row r="774" spans="1:28" ht="15.75" customHeight="1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8"/>
      <c r="K774" s="47"/>
      <c r="L774" s="47"/>
      <c r="M774" s="47"/>
      <c r="N774" s="47"/>
      <c r="O774" s="47"/>
      <c r="P774" s="47"/>
      <c r="Q774" s="47"/>
      <c r="R774" s="47"/>
      <c r="S774" s="49"/>
      <c r="T774" s="49"/>
      <c r="U774" s="47"/>
      <c r="V774" s="50"/>
      <c r="W774" s="47"/>
      <c r="X774" s="47"/>
      <c r="Y774" s="47"/>
      <c r="Z774" s="49"/>
      <c r="AA774" s="49"/>
      <c r="AB774" s="20"/>
    </row>
    <row r="775" spans="1:28" ht="15.75" customHeight="1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8"/>
      <c r="K775" s="47"/>
      <c r="L775" s="47"/>
      <c r="M775" s="47"/>
      <c r="N775" s="47"/>
      <c r="O775" s="47"/>
      <c r="P775" s="47"/>
      <c r="Q775" s="47"/>
      <c r="R775" s="47"/>
      <c r="S775" s="49"/>
      <c r="T775" s="49"/>
      <c r="U775" s="47"/>
      <c r="V775" s="50"/>
      <c r="W775" s="47"/>
      <c r="X775" s="47"/>
      <c r="Y775" s="47"/>
      <c r="Z775" s="49"/>
      <c r="AA775" s="49"/>
      <c r="AB775" s="20"/>
    </row>
    <row r="776" spans="1:28" ht="15.75" customHeight="1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8"/>
      <c r="K776" s="47"/>
      <c r="L776" s="47"/>
      <c r="M776" s="47"/>
      <c r="N776" s="47"/>
      <c r="O776" s="47"/>
      <c r="P776" s="47"/>
      <c r="Q776" s="47"/>
      <c r="R776" s="47"/>
      <c r="S776" s="49"/>
      <c r="T776" s="49"/>
      <c r="U776" s="47"/>
      <c r="V776" s="50"/>
      <c r="W776" s="47"/>
      <c r="X776" s="47"/>
      <c r="Y776" s="47"/>
      <c r="Z776" s="49"/>
      <c r="AA776" s="49"/>
      <c r="AB776" s="20"/>
    </row>
    <row r="777" spans="1:28" ht="15.75" customHeight="1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8"/>
      <c r="K777" s="47"/>
      <c r="L777" s="47"/>
      <c r="M777" s="47"/>
      <c r="N777" s="47"/>
      <c r="O777" s="47"/>
      <c r="P777" s="47"/>
      <c r="Q777" s="47"/>
      <c r="R777" s="47"/>
      <c r="S777" s="49"/>
      <c r="T777" s="49"/>
      <c r="U777" s="47"/>
      <c r="V777" s="50"/>
      <c r="W777" s="47"/>
      <c r="X777" s="47"/>
      <c r="Y777" s="47"/>
      <c r="Z777" s="49"/>
      <c r="AA777" s="49"/>
      <c r="AB777" s="20"/>
    </row>
    <row r="778" spans="1:28" ht="15.75" customHeight="1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8"/>
      <c r="K778" s="47"/>
      <c r="L778" s="47"/>
      <c r="M778" s="47"/>
      <c r="N778" s="47"/>
      <c r="O778" s="47"/>
      <c r="P778" s="47"/>
      <c r="Q778" s="47"/>
      <c r="R778" s="47"/>
      <c r="S778" s="49"/>
      <c r="T778" s="49"/>
      <c r="U778" s="47"/>
      <c r="V778" s="50"/>
      <c r="W778" s="47"/>
      <c r="X778" s="47"/>
      <c r="Y778" s="47"/>
      <c r="Z778" s="49"/>
      <c r="AA778" s="49"/>
      <c r="AB778" s="20"/>
    </row>
    <row r="779" spans="1:28" ht="15.75" customHeight="1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8"/>
      <c r="K779" s="47"/>
      <c r="L779" s="47"/>
      <c r="M779" s="47"/>
      <c r="N779" s="47"/>
      <c r="O779" s="47"/>
      <c r="P779" s="47"/>
      <c r="Q779" s="47"/>
      <c r="R779" s="47"/>
      <c r="S779" s="49"/>
      <c r="T779" s="49"/>
      <c r="U779" s="47"/>
      <c r="V779" s="50"/>
      <c r="W779" s="47"/>
      <c r="X779" s="47"/>
      <c r="Y779" s="47"/>
      <c r="Z779" s="49"/>
      <c r="AA779" s="49"/>
      <c r="AB779" s="20"/>
    </row>
    <row r="780" spans="1:28" ht="15.75" customHeight="1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8"/>
      <c r="K780" s="47"/>
      <c r="L780" s="47"/>
      <c r="M780" s="47"/>
      <c r="N780" s="47"/>
      <c r="O780" s="47"/>
      <c r="P780" s="47"/>
      <c r="Q780" s="47"/>
      <c r="R780" s="47"/>
      <c r="S780" s="49"/>
      <c r="T780" s="49"/>
      <c r="U780" s="47"/>
      <c r="V780" s="50"/>
      <c r="W780" s="47"/>
      <c r="X780" s="47"/>
      <c r="Y780" s="47"/>
      <c r="Z780" s="49"/>
      <c r="AA780" s="49"/>
      <c r="AB780" s="20"/>
    </row>
    <row r="781" spans="1:28" ht="15.75" customHeight="1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8"/>
      <c r="K781" s="47"/>
      <c r="L781" s="47"/>
      <c r="M781" s="47"/>
      <c r="N781" s="47"/>
      <c r="O781" s="47"/>
      <c r="P781" s="47"/>
      <c r="Q781" s="47"/>
      <c r="R781" s="47"/>
      <c r="S781" s="49"/>
      <c r="T781" s="49"/>
      <c r="U781" s="47"/>
      <c r="V781" s="50"/>
      <c r="W781" s="47"/>
      <c r="X781" s="47"/>
      <c r="Y781" s="47"/>
      <c r="Z781" s="49"/>
      <c r="AA781" s="49"/>
      <c r="AB781" s="20"/>
    </row>
    <row r="782" spans="1:28" ht="15.75" customHeight="1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8"/>
      <c r="K782" s="47"/>
      <c r="L782" s="47"/>
      <c r="M782" s="47"/>
      <c r="N782" s="47"/>
      <c r="O782" s="47"/>
      <c r="P782" s="47"/>
      <c r="Q782" s="47"/>
      <c r="R782" s="47"/>
      <c r="S782" s="49"/>
      <c r="T782" s="49"/>
      <c r="U782" s="47"/>
      <c r="V782" s="50"/>
      <c r="W782" s="47"/>
      <c r="X782" s="47"/>
      <c r="Y782" s="47"/>
      <c r="Z782" s="49"/>
      <c r="AA782" s="49"/>
      <c r="AB782" s="20"/>
    </row>
    <row r="783" spans="1:28" ht="15.75" customHeight="1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8"/>
      <c r="K783" s="47"/>
      <c r="L783" s="47"/>
      <c r="M783" s="47"/>
      <c r="N783" s="47"/>
      <c r="O783" s="47"/>
      <c r="P783" s="47"/>
      <c r="Q783" s="47"/>
      <c r="R783" s="47"/>
      <c r="S783" s="49"/>
      <c r="T783" s="49"/>
      <c r="U783" s="47"/>
      <c r="V783" s="50"/>
      <c r="W783" s="47"/>
      <c r="X783" s="47"/>
      <c r="Y783" s="47"/>
      <c r="Z783" s="49"/>
      <c r="AA783" s="49"/>
      <c r="AB783" s="20"/>
    </row>
    <row r="784" spans="1:28" ht="15.75" customHeight="1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8"/>
      <c r="K784" s="47"/>
      <c r="L784" s="47"/>
      <c r="M784" s="47"/>
      <c r="N784" s="47"/>
      <c r="O784" s="47"/>
      <c r="P784" s="47"/>
      <c r="Q784" s="47"/>
      <c r="R784" s="47"/>
      <c r="S784" s="49"/>
      <c r="T784" s="49"/>
      <c r="U784" s="47"/>
      <c r="V784" s="50"/>
      <c r="W784" s="47"/>
      <c r="X784" s="47"/>
      <c r="Y784" s="47"/>
      <c r="Z784" s="49"/>
      <c r="AA784" s="49"/>
      <c r="AB784" s="20"/>
    </row>
    <row r="785" spans="1:28" ht="15.75" customHeight="1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8"/>
      <c r="K785" s="47"/>
      <c r="L785" s="47"/>
      <c r="M785" s="47"/>
      <c r="N785" s="47"/>
      <c r="O785" s="47"/>
      <c r="P785" s="47"/>
      <c r="Q785" s="47"/>
      <c r="R785" s="47"/>
      <c r="S785" s="49"/>
      <c r="T785" s="49"/>
      <c r="U785" s="47"/>
      <c r="V785" s="50"/>
      <c r="W785" s="47"/>
      <c r="X785" s="47"/>
      <c r="Y785" s="47"/>
      <c r="Z785" s="49"/>
      <c r="AA785" s="49"/>
      <c r="AB785" s="20"/>
    </row>
    <row r="786" spans="1:28" ht="15.75" customHeight="1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8"/>
      <c r="K786" s="47"/>
      <c r="L786" s="47"/>
      <c r="M786" s="47"/>
      <c r="N786" s="47"/>
      <c r="O786" s="47"/>
      <c r="P786" s="47"/>
      <c r="Q786" s="47"/>
      <c r="R786" s="47"/>
      <c r="S786" s="49"/>
      <c r="T786" s="49"/>
      <c r="U786" s="47"/>
      <c r="V786" s="50"/>
      <c r="W786" s="47"/>
      <c r="X786" s="47"/>
      <c r="Y786" s="47"/>
      <c r="Z786" s="49"/>
      <c r="AA786" s="49"/>
      <c r="AB786" s="20"/>
    </row>
    <row r="787" spans="1:28" ht="15.75" customHeight="1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8"/>
      <c r="K787" s="47"/>
      <c r="L787" s="47"/>
      <c r="M787" s="47"/>
      <c r="N787" s="47"/>
      <c r="O787" s="47"/>
      <c r="P787" s="47"/>
      <c r="Q787" s="47"/>
      <c r="R787" s="47"/>
      <c r="S787" s="49"/>
      <c r="T787" s="49"/>
      <c r="U787" s="47"/>
      <c r="V787" s="50"/>
      <c r="W787" s="47"/>
      <c r="X787" s="47"/>
      <c r="Y787" s="47"/>
      <c r="Z787" s="49"/>
      <c r="AA787" s="49"/>
      <c r="AB787" s="20"/>
    </row>
    <row r="788" spans="1:28" ht="15.75" customHeight="1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8"/>
      <c r="K788" s="47"/>
      <c r="L788" s="47"/>
      <c r="M788" s="47"/>
      <c r="N788" s="47"/>
      <c r="O788" s="47"/>
      <c r="P788" s="47"/>
      <c r="Q788" s="47"/>
      <c r="R788" s="47"/>
      <c r="S788" s="49"/>
      <c r="T788" s="49"/>
      <c r="U788" s="47"/>
      <c r="V788" s="50"/>
      <c r="W788" s="47"/>
      <c r="X788" s="47"/>
      <c r="Y788" s="47"/>
      <c r="Z788" s="49"/>
      <c r="AA788" s="49"/>
      <c r="AB788" s="20"/>
    </row>
    <row r="789" spans="1:28" ht="15.75" customHeight="1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8"/>
      <c r="K789" s="47"/>
      <c r="L789" s="47"/>
      <c r="M789" s="47"/>
      <c r="N789" s="47"/>
      <c r="O789" s="47"/>
      <c r="P789" s="47"/>
      <c r="Q789" s="47"/>
      <c r="R789" s="47"/>
      <c r="S789" s="49"/>
      <c r="T789" s="49"/>
      <c r="U789" s="47"/>
      <c r="V789" s="50"/>
      <c r="W789" s="47"/>
      <c r="X789" s="47"/>
      <c r="Y789" s="47"/>
      <c r="Z789" s="49"/>
      <c r="AA789" s="49"/>
      <c r="AB789" s="20"/>
    </row>
    <row r="790" spans="1:28" ht="15.75" customHeight="1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8"/>
      <c r="K790" s="47"/>
      <c r="L790" s="47"/>
      <c r="M790" s="47"/>
      <c r="N790" s="47"/>
      <c r="O790" s="47"/>
      <c r="P790" s="47"/>
      <c r="Q790" s="47"/>
      <c r="R790" s="47"/>
      <c r="S790" s="49"/>
      <c r="T790" s="49"/>
      <c r="U790" s="47"/>
      <c r="V790" s="50"/>
      <c r="W790" s="47"/>
      <c r="X790" s="47"/>
      <c r="Y790" s="47"/>
      <c r="Z790" s="49"/>
      <c r="AA790" s="49"/>
      <c r="AB790" s="20"/>
    </row>
    <row r="791" spans="1:28" ht="15.75" customHeight="1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8"/>
      <c r="K791" s="47"/>
      <c r="L791" s="47"/>
      <c r="M791" s="47"/>
      <c r="N791" s="47"/>
      <c r="O791" s="47"/>
      <c r="P791" s="47"/>
      <c r="Q791" s="47"/>
      <c r="R791" s="47"/>
      <c r="S791" s="49"/>
      <c r="T791" s="49"/>
      <c r="U791" s="47"/>
      <c r="V791" s="50"/>
      <c r="W791" s="47"/>
      <c r="X791" s="47"/>
      <c r="Y791" s="47"/>
      <c r="Z791" s="49"/>
      <c r="AA791" s="49"/>
      <c r="AB791" s="20"/>
    </row>
    <row r="792" spans="1:28" ht="15.75" customHeight="1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8"/>
      <c r="K792" s="47"/>
      <c r="L792" s="47"/>
      <c r="M792" s="47"/>
      <c r="N792" s="47"/>
      <c r="O792" s="47"/>
      <c r="P792" s="47"/>
      <c r="Q792" s="47"/>
      <c r="R792" s="47"/>
      <c r="S792" s="49"/>
      <c r="T792" s="49"/>
      <c r="U792" s="47"/>
      <c r="V792" s="50"/>
      <c r="W792" s="47"/>
      <c r="X792" s="47"/>
      <c r="Y792" s="47"/>
      <c r="Z792" s="49"/>
      <c r="AA792" s="49"/>
      <c r="AB792" s="20"/>
    </row>
    <row r="793" spans="1:28" ht="15.75" customHeight="1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8"/>
      <c r="K793" s="47"/>
      <c r="L793" s="47"/>
      <c r="M793" s="47"/>
      <c r="N793" s="47"/>
      <c r="O793" s="47"/>
      <c r="P793" s="47"/>
      <c r="Q793" s="47"/>
      <c r="R793" s="47"/>
      <c r="S793" s="49"/>
      <c r="T793" s="49"/>
      <c r="U793" s="47"/>
      <c r="V793" s="50"/>
      <c r="W793" s="47"/>
      <c r="X793" s="47"/>
      <c r="Y793" s="47"/>
      <c r="Z793" s="49"/>
      <c r="AA793" s="49"/>
      <c r="AB793" s="20"/>
    </row>
    <row r="794" spans="1:28" ht="15.75" customHeight="1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8"/>
      <c r="K794" s="47"/>
      <c r="L794" s="47"/>
      <c r="M794" s="47"/>
      <c r="N794" s="47"/>
      <c r="O794" s="47"/>
      <c r="P794" s="47"/>
      <c r="Q794" s="47"/>
      <c r="R794" s="47"/>
      <c r="S794" s="49"/>
      <c r="T794" s="49"/>
      <c r="U794" s="47"/>
      <c r="V794" s="50"/>
      <c r="W794" s="47"/>
      <c r="X794" s="47"/>
      <c r="Y794" s="47"/>
      <c r="Z794" s="49"/>
      <c r="AA794" s="49"/>
      <c r="AB794" s="20"/>
    </row>
    <row r="795" spans="1:28" ht="15.75" customHeight="1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8"/>
      <c r="K795" s="47"/>
      <c r="L795" s="47"/>
      <c r="M795" s="47"/>
      <c r="N795" s="47"/>
      <c r="O795" s="47"/>
      <c r="P795" s="47"/>
      <c r="Q795" s="47"/>
      <c r="R795" s="47"/>
      <c r="S795" s="49"/>
      <c r="T795" s="49"/>
      <c r="U795" s="47"/>
      <c r="V795" s="50"/>
      <c r="W795" s="47"/>
      <c r="X795" s="47"/>
      <c r="Y795" s="47"/>
      <c r="Z795" s="49"/>
      <c r="AA795" s="49"/>
      <c r="AB795" s="20"/>
    </row>
    <row r="796" spans="1:28" ht="15.75" customHeight="1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8"/>
      <c r="K796" s="47"/>
      <c r="L796" s="47"/>
      <c r="M796" s="47"/>
      <c r="N796" s="47"/>
      <c r="O796" s="47"/>
      <c r="P796" s="47"/>
      <c r="Q796" s="47"/>
      <c r="R796" s="47"/>
      <c r="S796" s="49"/>
      <c r="T796" s="49"/>
      <c r="U796" s="47"/>
      <c r="V796" s="50"/>
      <c r="W796" s="47"/>
      <c r="X796" s="47"/>
      <c r="Y796" s="47"/>
      <c r="Z796" s="49"/>
      <c r="AA796" s="49"/>
      <c r="AB796" s="20"/>
    </row>
    <row r="797" spans="1:28" ht="15.75" customHeight="1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8"/>
      <c r="K797" s="47"/>
      <c r="L797" s="47"/>
      <c r="M797" s="47"/>
      <c r="N797" s="47"/>
      <c r="O797" s="47"/>
      <c r="P797" s="47"/>
      <c r="Q797" s="47"/>
      <c r="R797" s="47"/>
      <c r="S797" s="49"/>
      <c r="T797" s="49"/>
      <c r="U797" s="47"/>
      <c r="V797" s="50"/>
      <c r="W797" s="47"/>
      <c r="X797" s="47"/>
      <c r="Y797" s="47"/>
      <c r="Z797" s="49"/>
      <c r="AA797" s="49"/>
      <c r="AB797" s="20"/>
    </row>
    <row r="798" spans="1:28" ht="15.75" customHeight="1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8"/>
      <c r="K798" s="47"/>
      <c r="L798" s="47"/>
      <c r="M798" s="47"/>
      <c r="N798" s="47"/>
      <c r="O798" s="47"/>
      <c r="P798" s="47"/>
      <c r="Q798" s="47"/>
      <c r="R798" s="47"/>
      <c r="S798" s="49"/>
      <c r="T798" s="49"/>
      <c r="U798" s="47"/>
      <c r="V798" s="50"/>
      <c r="W798" s="47"/>
      <c r="X798" s="47"/>
      <c r="Y798" s="47"/>
      <c r="Z798" s="49"/>
      <c r="AA798" s="49"/>
      <c r="AB798" s="20"/>
    </row>
    <row r="799" spans="1:28" ht="15.75" customHeight="1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8"/>
      <c r="K799" s="47"/>
      <c r="L799" s="47"/>
      <c r="M799" s="47"/>
      <c r="N799" s="47"/>
      <c r="O799" s="47"/>
      <c r="P799" s="47"/>
      <c r="Q799" s="47"/>
      <c r="R799" s="47"/>
      <c r="S799" s="49"/>
      <c r="T799" s="49"/>
      <c r="U799" s="47"/>
      <c r="V799" s="50"/>
      <c r="W799" s="47"/>
      <c r="X799" s="47"/>
      <c r="Y799" s="47"/>
      <c r="Z799" s="49"/>
      <c r="AA799" s="49"/>
      <c r="AB799" s="20"/>
    </row>
    <row r="800" spans="1:28" ht="15.75" customHeight="1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8"/>
      <c r="K800" s="47"/>
      <c r="L800" s="47"/>
      <c r="M800" s="47"/>
      <c r="N800" s="47"/>
      <c r="O800" s="47"/>
      <c r="P800" s="47"/>
      <c r="Q800" s="47"/>
      <c r="R800" s="47"/>
      <c r="S800" s="49"/>
      <c r="T800" s="49"/>
      <c r="U800" s="47"/>
      <c r="V800" s="50"/>
      <c r="W800" s="47"/>
      <c r="X800" s="47"/>
      <c r="Y800" s="47"/>
      <c r="Z800" s="49"/>
      <c r="AA800" s="49"/>
      <c r="AB800" s="20"/>
    </row>
    <row r="801" spans="1:28" ht="15.75" customHeight="1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8"/>
      <c r="K801" s="47"/>
      <c r="L801" s="47"/>
      <c r="M801" s="47"/>
      <c r="N801" s="47"/>
      <c r="O801" s="47"/>
      <c r="P801" s="47"/>
      <c r="Q801" s="47"/>
      <c r="R801" s="47"/>
      <c r="S801" s="49"/>
      <c r="T801" s="49"/>
      <c r="U801" s="47"/>
      <c r="V801" s="50"/>
      <c r="W801" s="47"/>
      <c r="X801" s="47"/>
      <c r="Y801" s="47"/>
      <c r="Z801" s="49"/>
      <c r="AA801" s="49"/>
      <c r="AB801" s="20"/>
    </row>
    <row r="802" spans="1:28" ht="15.75" customHeight="1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8"/>
      <c r="K802" s="47"/>
      <c r="L802" s="47"/>
      <c r="M802" s="47"/>
      <c r="N802" s="47"/>
      <c r="O802" s="47"/>
      <c r="P802" s="47"/>
      <c r="Q802" s="47"/>
      <c r="R802" s="47"/>
      <c r="S802" s="49"/>
      <c r="T802" s="49"/>
      <c r="U802" s="47"/>
      <c r="V802" s="50"/>
      <c r="W802" s="47"/>
      <c r="X802" s="47"/>
      <c r="Y802" s="47"/>
      <c r="Z802" s="49"/>
      <c r="AA802" s="49"/>
      <c r="AB802" s="20"/>
    </row>
    <row r="803" spans="1:28" ht="15.75" customHeight="1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8"/>
      <c r="K803" s="47"/>
      <c r="L803" s="47"/>
      <c r="M803" s="47"/>
      <c r="N803" s="47"/>
      <c r="O803" s="47"/>
      <c r="P803" s="47"/>
      <c r="Q803" s="47"/>
      <c r="R803" s="47"/>
      <c r="S803" s="49"/>
      <c r="T803" s="49"/>
      <c r="U803" s="47"/>
      <c r="V803" s="50"/>
      <c r="W803" s="47"/>
      <c r="X803" s="47"/>
      <c r="Y803" s="47"/>
      <c r="Z803" s="49"/>
      <c r="AA803" s="49"/>
      <c r="AB803" s="20"/>
    </row>
    <row r="804" spans="1:28" ht="15.75" customHeight="1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8"/>
      <c r="K804" s="47"/>
      <c r="L804" s="47"/>
      <c r="M804" s="47"/>
      <c r="N804" s="47"/>
      <c r="O804" s="47"/>
      <c r="P804" s="47"/>
      <c r="Q804" s="47"/>
      <c r="R804" s="47"/>
      <c r="S804" s="49"/>
      <c r="T804" s="49"/>
      <c r="U804" s="47"/>
      <c r="V804" s="50"/>
      <c r="W804" s="47"/>
      <c r="X804" s="47"/>
      <c r="Y804" s="47"/>
      <c r="Z804" s="49"/>
      <c r="AA804" s="49"/>
      <c r="AB804" s="20"/>
    </row>
    <row r="805" spans="1:28" ht="15.75" customHeight="1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8"/>
      <c r="K805" s="47"/>
      <c r="L805" s="47"/>
      <c r="M805" s="47"/>
      <c r="N805" s="47"/>
      <c r="O805" s="47"/>
      <c r="P805" s="47"/>
      <c r="Q805" s="47"/>
      <c r="R805" s="47"/>
      <c r="S805" s="49"/>
      <c r="T805" s="49"/>
      <c r="U805" s="47"/>
      <c r="V805" s="50"/>
      <c r="W805" s="47"/>
      <c r="X805" s="47"/>
      <c r="Y805" s="47"/>
      <c r="Z805" s="49"/>
      <c r="AA805" s="49"/>
      <c r="AB805" s="20"/>
    </row>
    <row r="806" spans="1:28" ht="15.75" customHeight="1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8"/>
      <c r="K806" s="47"/>
      <c r="L806" s="47"/>
      <c r="M806" s="47"/>
      <c r="N806" s="47"/>
      <c r="O806" s="47"/>
      <c r="P806" s="47"/>
      <c r="Q806" s="47"/>
      <c r="R806" s="47"/>
      <c r="S806" s="49"/>
      <c r="T806" s="49"/>
      <c r="U806" s="47"/>
      <c r="V806" s="50"/>
      <c r="W806" s="47"/>
      <c r="X806" s="47"/>
      <c r="Y806" s="47"/>
      <c r="Z806" s="49"/>
      <c r="AA806" s="49"/>
      <c r="AB806" s="20"/>
    </row>
    <row r="807" spans="1:28" ht="15.75" customHeight="1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8"/>
      <c r="K807" s="47"/>
      <c r="L807" s="47"/>
      <c r="M807" s="47"/>
      <c r="N807" s="47"/>
      <c r="O807" s="47"/>
      <c r="P807" s="47"/>
      <c r="Q807" s="47"/>
      <c r="R807" s="47"/>
      <c r="S807" s="49"/>
      <c r="T807" s="49"/>
      <c r="U807" s="47"/>
      <c r="V807" s="50"/>
      <c r="W807" s="47"/>
      <c r="X807" s="47"/>
      <c r="Y807" s="47"/>
      <c r="Z807" s="49"/>
      <c r="AA807" s="49"/>
      <c r="AB807" s="20"/>
    </row>
    <row r="808" spans="1:28" ht="15.75" customHeight="1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8"/>
      <c r="K808" s="47"/>
      <c r="L808" s="47"/>
      <c r="M808" s="47"/>
      <c r="N808" s="47"/>
      <c r="O808" s="47"/>
      <c r="P808" s="47"/>
      <c r="Q808" s="47"/>
      <c r="R808" s="47"/>
      <c r="S808" s="49"/>
      <c r="T808" s="49"/>
      <c r="U808" s="47"/>
      <c r="V808" s="50"/>
      <c r="W808" s="47"/>
      <c r="X808" s="47"/>
      <c r="Y808" s="47"/>
      <c r="Z808" s="49"/>
      <c r="AA808" s="49"/>
      <c r="AB808" s="20"/>
    </row>
    <row r="809" spans="1:28" ht="15.75" customHeight="1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8"/>
      <c r="K809" s="47"/>
      <c r="L809" s="47"/>
      <c r="M809" s="47"/>
      <c r="N809" s="47"/>
      <c r="O809" s="47"/>
      <c r="P809" s="47"/>
      <c r="Q809" s="47"/>
      <c r="R809" s="47"/>
      <c r="S809" s="49"/>
      <c r="T809" s="49"/>
      <c r="U809" s="47"/>
      <c r="V809" s="50"/>
      <c r="W809" s="47"/>
      <c r="X809" s="47"/>
      <c r="Y809" s="47"/>
      <c r="Z809" s="49"/>
      <c r="AA809" s="49"/>
      <c r="AB809" s="20"/>
    </row>
    <row r="810" spans="1:28" ht="15.75" customHeight="1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8"/>
      <c r="K810" s="47"/>
      <c r="L810" s="47"/>
      <c r="M810" s="47"/>
      <c r="N810" s="47"/>
      <c r="O810" s="47"/>
      <c r="P810" s="47"/>
      <c r="Q810" s="47"/>
      <c r="R810" s="47"/>
      <c r="S810" s="49"/>
      <c r="T810" s="49"/>
      <c r="U810" s="47"/>
      <c r="V810" s="50"/>
      <c r="W810" s="47"/>
      <c r="X810" s="47"/>
      <c r="Y810" s="47"/>
      <c r="Z810" s="49"/>
      <c r="AA810" s="49"/>
      <c r="AB810" s="20"/>
    </row>
    <row r="811" spans="1:28" ht="15.75" customHeight="1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8"/>
      <c r="K811" s="47"/>
      <c r="L811" s="47"/>
      <c r="M811" s="47"/>
      <c r="N811" s="47"/>
      <c r="O811" s="47"/>
      <c r="P811" s="47"/>
      <c r="Q811" s="47"/>
      <c r="R811" s="47"/>
      <c r="S811" s="49"/>
      <c r="T811" s="49"/>
      <c r="U811" s="47"/>
      <c r="V811" s="50"/>
      <c r="W811" s="47"/>
      <c r="X811" s="47"/>
      <c r="Y811" s="47"/>
      <c r="Z811" s="49"/>
      <c r="AA811" s="49"/>
      <c r="AB811" s="20"/>
    </row>
    <row r="812" spans="1:28" ht="15.75" customHeight="1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8"/>
      <c r="K812" s="47"/>
      <c r="L812" s="47"/>
      <c r="M812" s="47"/>
      <c r="N812" s="47"/>
      <c r="O812" s="47"/>
      <c r="P812" s="47"/>
      <c r="Q812" s="47"/>
      <c r="R812" s="47"/>
      <c r="S812" s="49"/>
      <c r="T812" s="49"/>
      <c r="U812" s="47"/>
      <c r="V812" s="50"/>
      <c r="W812" s="47"/>
      <c r="X812" s="47"/>
      <c r="Y812" s="47"/>
      <c r="Z812" s="49"/>
      <c r="AA812" s="49"/>
      <c r="AB812" s="20"/>
    </row>
    <row r="813" spans="1:28" ht="15.75" customHeight="1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8"/>
      <c r="K813" s="47"/>
      <c r="L813" s="47"/>
      <c r="M813" s="47"/>
      <c r="N813" s="47"/>
      <c r="O813" s="47"/>
      <c r="P813" s="47"/>
      <c r="Q813" s="47"/>
      <c r="R813" s="47"/>
      <c r="S813" s="49"/>
      <c r="T813" s="49"/>
      <c r="U813" s="47"/>
      <c r="V813" s="50"/>
      <c r="W813" s="47"/>
      <c r="X813" s="47"/>
      <c r="Y813" s="47"/>
      <c r="Z813" s="49"/>
      <c r="AA813" s="49"/>
      <c r="AB813" s="20"/>
    </row>
    <row r="814" spans="1:28" ht="15.75" customHeight="1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8"/>
      <c r="K814" s="47"/>
      <c r="L814" s="47"/>
      <c r="M814" s="47"/>
      <c r="N814" s="47"/>
      <c r="O814" s="47"/>
      <c r="P814" s="47"/>
      <c r="Q814" s="47"/>
      <c r="R814" s="47"/>
      <c r="S814" s="49"/>
      <c r="T814" s="49"/>
      <c r="U814" s="47"/>
      <c r="V814" s="50"/>
      <c r="W814" s="47"/>
      <c r="X814" s="47"/>
      <c r="Y814" s="47"/>
      <c r="Z814" s="49"/>
      <c r="AA814" s="49"/>
      <c r="AB814" s="20"/>
    </row>
    <row r="815" spans="1:28" ht="15.75" customHeight="1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8"/>
      <c r="K815" s="47"/>
      <c r="L815" s="47"/>
      <c r="M815" s="47"/>
      <c r="N815" s="47"/>
      <c r="O815" s="47"/>
      <c r="P815" s="47"/>
      <c r="Q815" s="47"/>
      <c r="R815" s="47"/>
      <c r="S815" s="49"/>
      <c r="T815" s="49"/>
      <c r="U815" s="47"/>
      <c r="V815" s="50"/>
      <c r="W815" s="47"/>
      <c r="X815" s="47"/>
      <c r="Y815" s="47"/>
      <c r="Z815" s="49"/>
      <c r="AA815" s="49"/>
      <c r="AB815" s="20"/>
    </row>
    <row r="816" spans="1:28" ht="15.75" customHeight="1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8"/>
      <c r="K816" s="47"/>
      <c r="L816" s="47"/>
      <c r="M816" s="47"/>
      <c r="N816" s="47"/>
      <c r="O816" s="47"/>
      <c r="P816" s="47"/>
      <c r="Q816" s="47"/>
      <c r="R816" s="47"/>
      <c r="S816" s="49"/>
      <c r="T816" s="49"/>
      <c r="U816" s="47"/>
      <c r="V816" s="50"/>
      <c r="W816" s="47"/>
      <c r="X816" s="47"/>
      <c r="Y816" s="47"/>
      <c r="Z816" s="49"/>
      <c r="AA816" s="49"/>
      <c r="AB816" s="20"/>
    </row>
    <row r="817" spans="1:28" ht="15.75" customHeight="1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8"/>
      <c r="K817" s="47"/>
      <c r="L817" s="47"/>
      <c r="M817" s="47"/>
      <c r="N817" s="47"/>
      <c r="O817" s="47"/>
      <c r="P817" s="47"/>
      <c r="Q817" s="47"/>
      <c r="R817" s="47"/>
      <c r="S817" s="49"/>
      <c r="T817" s="49"/>
      <c r="U817" s="47"/>
      <c r="V817" s="50"/>
      <c r="W817" s="47"/>
      <c r="X817" s="47"/>
      <c r="Y817" s="47"/>
      <c r="Z817" s="49"/>
      <c r="AA817" s="49"/>
      <c r="AB817" s="20"/>
    </row>
    <row r="818" spans="1:28" ht="15.75" customHeight="1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8"/>
      <c r="K818" s="47"/>
      <c r="L818" s="47"/>
      <c r="M818" s="47"/>
      <c r="N818" s="47"/>
      <c r="O818" s="47"/>
      <c r="P818" s="47"/>
      <c r="Q818" s="47"/>
      <c r="R818" s="47"/>
      <c r="S818" s="49"/>
      <c r="T818" s="49"/>
      <c r="U818" s="47"/>
      <c r="V818" s="50"/>
      <c r="W818" s="47"/>
      <c r="X818" s="47"/>
      <c r="Y818" s="47"/>
      <c r="Z818" s="49"/>
      <c r="AA818" s="49"/>
      <c r="AB818" s="20"/>
    </row>
    <row r="819" spans="1:28" ht="15.75" customHeight="1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8"/>
      <c r="K819" s="47"/>
      <c r="L819" s="47"/>
      <c r="M819" s="47"/>
      <c r="N819" s="47"/>
      <c r="O819" s="47"/>
      <c r="P819" s="47"/>
      <c r="Q819" s="47"/>
      <c r="R819" s="47"/>
      <c r="S819" s="49"/>
      <c r="T819" s="49"/>
      <c r="U819" s="47"/>
      <c r="V819" s="50"/>
      <c r="W819" s="47"/>
      <c r="X819" s="47"/>
      <c r="Y819" s="47"/>
      <c r="Z819" s="49"/>
      <c r="AA819" s="49"/>
      <c r="AB819" s="20"/>
    </row>
    <row r="820" spans="1:28" ht="15.75" customHeight="1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8"/>
      <c r="K820" s="47"/>
      <c r="L820" s="47"/>
      <c r="M820" s="47"/>
      <c r="N820" s="47"/>
      <c r="O820" s="47"/>
      <c r="P820" s="47"/>
      <c r="Q820" s="47"/>
      <c r="R820" s="47"/>
      <c r="S820" s="49"/>
      <c r="T820" s="49"/>
      <c r="U820" s="47"/>
      <c r="V820" s="50"/>
      <c r="W820" s="47"/>
      <c r="X820" s="47"/>
      <c r="Y820" s="47"/>
      <c r="Z820" s="49"/>
      <c r="AA820" s="49"/>
      <c r="AB820" s="20"/>
    </row>
    <row r="821" spans="1:28" ht="15.75" customHeight="1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8"/>
      <c r="K821" s="47"/>
      <c r="L821" s="47"/>
      <c r="M821" s="47"/>
      <c r="N821" s="47"/>
      <c r="O821" s="47"/>
      <c r="P821" s="47"/>
      <c r="Q821" s="47"/>
      <c r="R821" s="47"/>
      <c r="S821" s="49"/>
      <c r="T821" s="49"/>
      <c r="U821" s="47"/>
      <c r="V821" s="50"/>
      <c r="W821" s="47"/>
      <c r="X821" s="47"/>
      <c r="Y821" s="47"/>
      <c r="Z821" s="49"/>
      <c r="AA821" s="49"/>
      <c r="AB821" s="20"/>
    </row>
    <row r="822" spans="1:28" ht="15.75" customHeight="1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8"/>
      <c r="K822" s="47"/>
      <c r="L822" s="47"/>
      <c r="M822" s="47"/>
      <c r="N822" s="47"/>
      <c r="O822" s="47"/>
      <c r="P822" s="47"/>
      <c r="Q822" s="47"/>
      <c r="R822" s="47"/>
      <c r="S822" s="49"/>
      <c r="T822" s="49"/>
      <c r="U822" s="47"/>
      <c r="V822" s="50"/>
      <c r="W822" s="47"/>
      <c r="X822" s="47"/>
      <c r="Y822" s="47"/>
      <c r="Z822" s="49"/>
      <c r="AA822" s="49"/>
      <c r="AB822" s="20"/>
    </row>
    <row r="823" spans="1:28" ht="15.75" customHeight="1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8"/>
      <c r="K823" s="47"/>
      <c r="L823" s="47"/>
      <c r="M823" s="47"/>
      <c r="N823" s="47"/>
      <c r="O823" s="47"/>
      <c r="P823" s="47"/>
      <c r="Q823" s="47"/>
      <c r="R823" s="47"/>
      <c r="S823" s="49"/>
      <c r="T823" s="49"/>
      <c r="U823" s="47"/>
      <c r="V823" s="50"/>
      <c r="W823" s="47"/>
      <c r="X823" s="47"/>
      <c r="Y823" s="47"/>
      <c r="Z823" s="49"/>
      <c r="AA823" s="49"/>
      <c r="AB823" s="20"/>
    </row>
    <row r="824" spans="1:28" ht="15.75" customHeight="1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8"/>
      <c r="K824" s="47"/>
      <c r="L824" s="47"/>
      <c r="M824" s="47"/>
      <c r="N824" s="47"/>
      <c r="O824" s="47"/>
      <c r="P824" s="47"/>
      <c r="Q824" s="47"/>
      <c r="R824" s="47"/>
      <c r="S824" s="49"/>
      <c r="T824" s="49"/>
      <c r="U824" s="47"/>
      <c r="V824" s="50"/>
      <c r="W824" s="47"/>
      <c r="X824" s="47"/>
      <c r="Y824" s="47"/>
      <c r="Z824" s="49"/>
      <c r="AA824" s="49"/>
      <c r="AB824" s="20"/>
    </row>
    <row r="825" spans="1:28" ht="15.75" customHeight="1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8"/>
      <c r="K825" s="47"/>
      <c r="L825" s="47"/>
      <c r="M825" s="47"/>
      <c r="N825" s="47"/>
      <c r="O825" s="47"/>
      <c r="P825" s="47"/>
      <c r="Q825" s="47"/>
      <c r="R825" s="47"/>
      <c r="S825" s="49"/>
      <c r="T825" s="49"/>
      <c r="U825" s="47"/>
      <c r="V825" s="50"/>
      <c r="W825" s="47"/>
      <c r="X825" s="47"/>
      <c r="Y825" s="47"/>
      <c r="Z825" s="49"/>
      <c r="AA825" s="49"/>
      <c r="AB825" s="20"/>
    </row>
    <row r="826" spans="1:28" ht="15.75" customHeight="1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8"/>
      <c r="K826" s="47"/>
      <c r="L826" s="47"/>
      <c r="M826" s="47"/>
      <c r="N826" s="47"/>
      <c r="O826" s="47"/>
      <c r="P826" s="47"/>
      <c r="Q826" s="47"/>
      <c r="R826" s="47"/>
      <c r="S826" s="49"/>
      <c r="T826" s="49"/>
      <c r="U826" s="47"/>
      <c r="V826" s="50"/>
      <c r="W826" s="47"/>
      <c r="X826" s="47"/>
      <c r="Y826" s="47"/>
      <c r="Z826" s="49"/>
      <c r="AA826" s="49"/>
      <c r="AB826" s="20"/>
    </row>
    <row r="827" spans="1:28" ht="15.75" customHeight="1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8"/>
      <c r="K827" s="47"/>
      <c r="L827" s="47"/>
      <c r="M827" s="47"/>
      <c r="N827" s="47"/>
      <c r="O827" s="47"/>
      <c r="P827" s="47"/>
      <c r="Q827" s="47"/>
      <c r="R827" s="47"/>
      <c r="S827" s="49"/>
      <c r="T827" s="49"/>
      <c r="U827" s="47"/>
      <c r="V827" s="50"/>
      <c r="W827" s="47"/>
      <c r="X827" s="47"/>
      <c r="Y827" s="47"/>
      <c r="Z827" s="49"/>
      <c r="AA827" s="49"/>
      <c r="AB827" s="20"/>
    </row>
    <row r="828" spans="1:28" ht="15.75" customHeight="1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8"/>
      <c r="K828" s="47"/>
      <c r="L828" s="47"/>
      <c r="M828" s="47"/>
      <c r="N828" s="47"/>
      <c r="O828" s="47"/>
      <c r="P828" s="47"/>
      <c r="Q828" s="47"/>
      <c r="R828" s="47"/>
      <c r="S828" s="49"/>
      <c r="T828" s="49"/>
      <c r="U828" s="47"/>
      <c r="V828" s="50"/>
      <c r="W828" s="47"/>
      <c r="X828" s="47"/>
      <c r="Y828" s="47"/>
      <c r="Z828" s="49"/>
      <c r="AA828" s="49"/>
      <c r="AB828" s="20"/>
    </row>
    <row r="829" spans="1:28" ht="15.75" customHeight="1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8"/>
      <c r="K829" s="47"/>
      <c r="L829" s="47"/>
      <c r="M829" s="47"/>
      <c r="N829" s="47"/>
      <c r="O829" s="47"/>
      <c r="P829" s="47"/>
      <c r="Q829" s="47"/>
      <c r="R829" s="47"/>
      <c r="S829" s="49"/>
      <c r="T829" s="49"/>
      <c r="U829" s="47"/>
      <c r="V829" s="50"/>
      <c r="W829" s="47"/>
      <c r="X829" s="47"/>
      <c r="Y829" s="47"/>
      <c r="Z829" s="49"/>
      <c r="AA829" s="49"/>
      <c r="AB829" s="20"/>
    </row>
    <row r="830" spans="1:28" ht="15.75" customHeight="1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8"/>
      <c r="K830" s="47"/>
      <c r="L830" s="47"/>
      <c r="M830" s="47"/>
      <c r="N830" s="47"/>
      <c r="O830" s="47"/>
      <c r="P830" s="47"/>
      <c r="Q830" s="47"/>
      <c r="R830" s="47"/>
      <c r="S830" s="49"/>
      <c r="T830" s="49"/>
      <c r="U830" s="47"/>
      <c r="V830" s="50"/>
      <c r="W830" s="47"/>
      <c r="X830" s="47"/>
      <c r="Y830" s="47"/>
      <c r="Z830" s="49"/>
      <c r="AA830" s="49"/>
      <c r="AB830" s="20"/>
    </row>
    <row r="831" spans="1:28" ht="15.75" customHeight="1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8"/>
      <c r="K831" s="47"/>
      <c r="L831" s="47"/>
      <c r="M831" s="47"/>
      <c r="N831" s="47"/>
      <c r="O831" s="47"/>
      <c r="P831" s="47"/>
      <c r="Q831" s="47"/>
      <c r="R831" s="47"/>
      <c r="S831" s="49"/>
      <c r="T831" s="49"/>
      <c r="U831" s="47"/>
      <c r="V831" s="50"/>
      <c r="W831" s="47"/>
      <c r="X831" s="47"/>
      <c r="Y831" s="47"/>
      <c r="Z831" s="49"/>
      <c r="AA831" s="49"/>
      <c r="AB831" s="20"/>
    </row>
    <row r="832" spans="1:28" ht="15.75" customHeight="1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8"/>
      <c r="K832" s="47"/>
      <c r="L832" s="47"/>
      <c r="M832" s="47"/>
      <c r="N832" s="47"/>
      <c r="O832" s="47"/>
      <c r="P832" s="47"/>
      <c r="Q832" s="47"/>
      <c r="R832" s="47"/>
      <c r="S832" s="49"/>
      <c r="T832" s="49"/>
      <c r="U832" s="47"/>
      <c r="V832" s="50"/>
      <c r="W832" s="47"/>
      <c r="X832" s="47"/>
      <c r="Y832" s="47"/>
      <c r="Z832" s="49"/>
      <c r="AA832" s="49"/>
      <c r="AB832" s="20"/>
    </row>
    <row r="833" spans="1:28" ht="15.75" customHeight="1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8"/>
      <c r="K833" s="47"/>
      <c r="L833" s="47"/>
      <c r="M833" s="47"/>
      <c r="N833" s="47"/>
      <c r="O833" s="47"/>
      <c r="P833" s="47"/>
      <c r="Q833" s="47"/>
      <c r="R833" s="47"/>
      <c r="S833" s="49"/>
      <c r="T833" s="49"/>
      <c r="U833" s="47"/>
      <c r="V833" s="50"/>
      <c r="W833" s="47"/>
      <c r="X833" s="47"/>
      <c r="Y833" s="47"/>
      <c r="Z833" s="49"/>
      <c r="AA833" s="49"/>
      <c r="AB833" s="20"/>
    </row>
    <row r="834" spans="1:28" ht="15.75" customHeight="1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8"/>
      <c r="K834" s="47"/>
      <c r="L834" s="47"/>
      <c r="M834" s="47"/>
      <c r="N834" s="47"/>
      <c r="O834" s="47"/>
      <c r="P834" s="47"/>
      <c r="Q834" s="47"/>
      <c r="R834" s="47"/>
      <c r="S834" s="49"/>
      <c r="T834" s="49"/>
      <c r="U834" s="47"/>
      <c r="V834" s="50"/>
      <c r="W834" s="47"/>
      <c r="X834" s="47"/>
      <c r="Y834" s="47"/>
      <c r="Z834" s="49"/>
      <c r="AA834" s="49"/>
      <c r="AB834" s="20"/>
    </row>
    <row r="835" spans="1:28" ht="15.75" customHeight="1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8"/>
      <c r="K835" s="47"/>
      <c r="L835" s="47"/>
      <c r="M835" s="47"/>
      <c r="N835" s="47"/>
      <c r="O835" s="47"/>
      <c r="P835" s="47"/>
      <c r="Q835" s="47"/>
      <c r="R835" s="47"/>
      <c r="S835" s="49"/>
      <c r="T835" s="49"/>
      <c r="U835" s="47"/>
      <c r="V835" s="50"/>
      <c r="W835" s="47"/>
      <c r="X835" s="47"/>
      <c r="Y835" s="47"/>
      <c r="Z835" s="49"/>
      <c r="AA835" s="49"/>
      <c r="AB835" s="20"/>
    </row>
    <row r="836" spans="1:28" ht="15.75" customHeight="1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8"/>
      <c r="K836" s="47"/>
      <c r="L836" s="47"/>
      <c r="M836" s="47"/>
      <c r="N836" s="47"/>
      <c r="O836" s="47"/>
      <c r="P836" s="47"/>
      <c r="Q836" s="47"/>
      <c r="R836" s="47"/>
      <c r="S836" s="49"/>
      <c r="T836" s="49"/>
      <c r="U836" s="47"/>
      <c r="V836" s="50"/>
      <c r="W836" s="47"/>
      <c r="X836" s="47"/>
      <c r="Y836" s="47"/>
      <c r="Z836" s="49"/>
      <c r="AA836" s="49"/>
      <c r="AB836" s="20"/>
    </row>
    <row r="837" spans="1:28" ht="15.75" customHeight="1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8"/>
      <c r="K837" s="47"/>
      <c r="L837" s="47"/>
      <c r="M837" s="47"/>
      <c r="N837" s="47"/>
      <c r="O837" s="47"/>
      <c r="P837" s="47"/>
      <c r="Q837" s="47"/>
      <c r="R837" s="47"/>
      <c r="S837" s="49"/>
      <c r="T837" s="49"/>
      <c r="U837" s="47"/>
      <c r="V837" s="50"/>
      <c r="W837" s="47"/>
      <c r="X837" s="47"/>
      <c r="Y837" s="47"/>
      <c r="Z837" s="49"/>
      <c r="AA837" s="49"/>
      <c r="AB837" s="20"/>
    </row>
    <row r="838" spans="1:28" ht="15.75" customHeight="1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8"/>
      <c r="K838" s="47"/>
      <c r="L838" s="47"/>
      <c r="M838" s="47"/>
      <c r="N838" s="47"/>
      <c r="O838" s="47"/>
      <c r="P838" s="47"/>
      <c r="Q838" s="47"/>
      <c r="R838" s="47"/>
      <c r="S838" s="49"/>
      <c r="T838" s="49"/>
      <c r="U838" s="47"/>
      <c r="V838" s="50"/>
      <c r="W838" s="47"/>
      <c r="X838" s="47"/>
      <c r="Y838" s="47"/>
      <c r="Z838" s="49"/>
      <c r="AA838" s="49"/>
      <c r="AB838" s="20"/>
    </row>
    <row r="839" spans="1:28" ht="15.75" customHeight="1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8"/>
      <c r="K839" s="47"/>
      <c r="L839" s="47"/>
      <c r="M839" s="47"/>
      <c r="N839" s="47"/>
      <c r="O839" s="47"/>
      <c r="P839" s="47"/>
      <c r="Q839" s="47"/>
      <c r="R839" s="47"/>
      <c r="S839" s="49"/>
      <c r="T839" s="49"/>
      <c r="U839" s="47"/>
      <c r="V839" s="50"/>
      <c r="W839" s="47"/>
      <c r="X839" s="47"/>
      <c r="Y839" s="47"/>
      <c r="Z839" s="49"/>
      <c r="AA839" s="49"/>
      <c r="AB839" s="20"/>
    </row>
    <row r="840" spans="1:28" ht="15.75" customHeight="1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8"/>
      <c r="K840" s="47"/>
      <c r="L840" s="47"/>
      <c r="M840" s="47"/>
      <c r="N840" s="47"/>
      <c r="O840" s="47"/>
      <c r="P840" s="47"/>
      <c r="Q840" s="47"/>
      <c r="R840" s="47"/>
      <c r="S840" s="49"/>
      <c r="T840" s="49"/>
      <c r="U840" s="47"/>
      <c r="V840" s="50"/>
      <c r="W840" s="47"/>
      <c r="X840" s="47"/>
      <c r="Y840" s="47"/>
      <c r="Z840" s="49"/>
      <c r="AA840" s="49"/>
      <c r="AB840" s="20"/>
    </row>
    <row r="841" spans="1:28" ht="15.75" customHeight="1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8"/>
      <c r="K841" s="47"/>
      <c r="L841" s="47"/>
      <c r="M841" s="47"/>
      <c r="N841" s="47"/>
      <c r="O841" s="47"/>
      <c r="P841" s="47"/>
      <c r="Q841" s="47"/>
      <c r="R841" s="47"/>
      <c r="S841" s="49"/>
      <c r="T841" s="49"/>
      <c r="U841" s="47"/>
      <c r="V841" s="50"/>
      <c r="W841" s="47"/>
      <c r="X841" s="47"/>
      <c r="Y841" s="47"/>
      <c r="Z841" s="49"/>
      <c r="AA841" s="49"/>
      <c r="AB841" s="20"/>
    </row>
    <row r="842" spans="1:28" ht="15.75" customHeight="1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8"/>
      <c r="K842" s="47"/>
      <c r="L842" s="47"/>
      <c r="M842" s="47"/>
      <c r="N842" s="47"/>
      <c r="O842" s="47"/>
      <c r="P842" s="47"/>
      <c r="Q842" s="47"/>
      <c r="R842" s="47"/>
      <c r="S842" s="49"/>
      <c r="T842" s="49"/>
      <c r="U842" s="47"/>
      <c r="V842" s="50"/>
      <c r="W842" s="47"/>
      <c r="X842" s="47"/>
      <c r="Y842" s="47"/>
      <c r="Z842" s="49"/>
      <c r="AA842" s="49"/>
      <c r="AB842" s="20"/>
    </row>
    <row r="843" spans="1:28" ht="15.75" customHeight="1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8"/>
      <c r="K843" s="47"/>
      <c r="L843" s="47"/>
      <c r="M843" s="47"/>
      <c r="N843" s="47"/>
      <c r="O843" s="47"/>
      <c r="P843" s="47"/>
      <c r="Q843" s="47"/>
      <c r="R843" s="47"/>
      <c r="S843" s="49"/>
      <c r="T843" s="49"/>
      <c r="U843" s="47"/>
      <c r="V843" s="50"/>
      <c r="W843" s="47"/>
      <c r="X843" s="47"/>
      <c r="Y843" s="47"/>
      <c r="Z843" s="49"/>
      <c r="AA843" s="49"/>
      <c r="AB843" s="20"/>
    </row>
    <row r="844" spans="1:28" ht="15.75" customHeight="1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8"/>
      <c r="K844" s="47"/>
      <c r="L844" s="47"/>
      <c r="M844" s="47"/>
      <c r="N844" s="47"/>
      <c r="O844" s="47"/>
      <c r="P844" s="47"/>
      <c r="Q844" s="47"/>
      <c r="R844" s="47"/>
      <c r="S844" s="49"/>
      <c r="T844" s="49"/>
      <c r="U844" s="47"/>
      <c r="V844" s="50"/>
      <c r="W844" s="47"/>
      <c r="X844" s="47"/>
      <c r="Y844" s="47"/>
      <c r="Z844" s="49"/>
      <c r="AA844" s="49"/>
      <c r="AB844" s="20"/>
    </row>
    <row r="845" spans="1:28" ht="15.75" customHeight="1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8"/>
      <c r="K845" s="47"/>
      <c r="L845" s="47"/>
      <c r="M845" s="47"/>
      <c r="N845" s="47"/>
      <c r="O845" s="47"/>
      <c r="P845" s="47"/>
      <c r="Q845" s="47"/>
      <c r="R845" s="47"/>
      <c r="S845" s="49"/>
      <c r="T845" s="49"/>
      <c r="U845" s="47"/>
      <c r="V845" s="50"/>
      <c r="W845" s="47"/>
      <c r="X845" s="47"/>
      <c r="Y845" s="47"/>
      <c r="Z845" s="49"/>
      <c r="AA845" s="49"/>
      <c r="AB845" s="20"/>
    </row>
    <row r="846" spans="1:28" ht="15.75" customHeight="1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8"/>
      <c r="K846" s="47"/>
      <c r="L846" s="47"/>
      <c r="M846" s="47"/>
      <c r="N846" s="47"/>
      <c r="O846" s="47"/>
      <c r="P846" s="47"/>
      <c r="Q846" s="47"/>
      <c r="R846" s="47"/>
      <c r="S846" s="49"/>
      <c r="T846" s="49"/>
      <c r="U846" s="47"/>
      <c r="V846" s="50"/>
      <c r="W846" s="47"/>
      <c r="X846" s="47"/>
      <c r="Y846" s="47"/>
      <c r="Z846" s="49"/>
      <c r="AA846" s="49"/>
      <c r="AB846" s="20"/>
    </row>
    <row r="847" spans="1:28" ht="15.75" customHeight="1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8"/>
      <c r="K847" s="47"/>
      <c r="L847" s="47"/>
      <c r="M847" s="47"/>
      <c r="N847" s="47"/>
      <c r="O847" s="47"/>
      <c r="P847" s="47"/>
      <c r="Q847" s="47"/>
      <c r="R847" s="47"/>
      <c r="S847" s="49"/>
      <c r="T847" s="49"/>
      <c r="U847" s="47"/>
      <c r="V847" s="50"/>
      <c r="W847" s="47"/>
      <c r="X847" s="47"/>
      <c r="Y847" s="47"/>
      <c r="Z847" s="49"/>
      <c r="AA847" s="49"/>
      <c r="AB847" s="20"/>
    </row>
    <row r="848" spans="1:28" ht="15.75" customHeight="1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8"/>
      <c r="K848" s="47"/>
      <c r="L848" s="47"/>
      <c r="M848" s="47"/>
      <c r="N848" s="47"/>
      <c r="O848" s="47"/>
      <c r="P848" s="47"/>
      <c r="Q848" s="47"/>
      <c r="R848" s="47"/>
      <c r="S848" s="49"/>
      <c r="T848" s="49"/>
      <c r="U848" s="47"/>
      <c r="V848" s="50"/>
      <c r="W848" s="47"/>
      <c r="X848" s="47"/>
      <c r="Y848" s="47"/>
      <c r="Z848" s="49"/>
      <c r="AA848" s="49"/>
      <c r="AB848" s="20"/>
    </row>
    <row r="849" spans="1:28" ht="15.75" customHeight="1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8"/>
      <c r="K849" s="47"/>
      <c r="L849" s="47"/>
      <c r="M849" s="47"/>
      <c r="N849" s="47"/>
      <c r="O849" s="47"/>
      <c r="P849" s="47"/>
      <c r="Q849" s="47"/>
      <c r="R849" s="47"/>
      <c r="S849" s="49"/>
      <c r="T849" s="49"/>
      <c r="U849" s="47"/>
      <c r="V849" s="50"/>
      <c r="W849" s="47"/>
      <c r="X849" s="47"/>
      <c r="Y849" s="47"/>
      <c r="Z849" s="49"/>
      <c r="AA849" s="49"/>
      <c r="AB849" s="20"/>
    </row>
    <row r="850" spans="1:28" ht="15.75" customHeight="1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8"/>
      <c r="K850" s="47"/>
      <c r="L850" s="47"/>
      <c r="M850" s="47"/>
      <c r="N850" s="47"/>
      <c r="O850" s="47"/>
      <c r="P850" s="47"/>
      <c r="Q850" s="47"/>
      <c r="R850" s="47"/>
      <c r="S850" s="49"/>
      <c r="T850" s="49"/>
      <c r="U850" s="47"/>
      <c r="V850" s="50"/>
      <c r="W850" s="47"/>
      <c r="X850" s="47"/>
      <c r="Y850" s="47"/>
      <c r="Z850" s="49"/>
      <c r="AA850" s="49"/>
      <c r="AB850" s="20"/>
    </row>
    <row r="851" spans="1:28" ht="15.75" customHeight="1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8"/>
      <c r="K851" s="47"/>
      <c r="L851" s="47"/>
      <c r="M851" s="47"/>
      <c r="N851" s="47"/>
      <c r="O851" s="47"/>
      <c r="P851" s="47"/>
      <c r="Q851" s="47"/>
      <c r="R851" s="47"/>
      <c r="S851" s="49"/>
      <c r="T851" s="49"/>
      <c r="U851" s="47"/>
      <c r="V851" s="50"/>
      <c r="W851" s="47"/>
      <c r="X851" s="47"/>
      <c r="Y851" s="47"/>
      <c r="Z851" s="49"/>
      <c r="AA851" s="49"/>
      <c r="AB851" s="20"/>
    </row>
    <row r="852" spans="1:28" ht="15.75" customHeight="1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8"/>
      <c r="K852" s="47"/>
      <c r="L852" s="47"/>
      <c r="M852" s="47"/>
      <c r="N852" s="47"/>
      <c r="O852" s="47"/>
      <c r="P852" s="47"/>
      <c r="Q852" s="47"/>
      <c r="R852" s="47"/>
      <c r="S852" s="49"/>
      <c r="T852" s="49"/>
      <c r="U852" s="47"/>
      <c r="V852" s="50"/>
      <c r="W852" s="47"/>
      <c r="X852" s="47"/>
      <c r="Y852" s="47"/>
      <c r="Z852" s="49"/>
      <c r="AA852" s="49"/>
      <c r="AB852" s="20"/>
    </row>
    <row r="853" spans="1:28" ht="15.75" customHeight="1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8"/>
      <c r="K853" s="47"/>
      <c r="L853" s="47"/>
      <c r="M853" s="47"/>
      <c r="N853" s="47"/>
      <c r="O853" s="47"/>
      <c r="P853" s="47"/>
      <c r="Q853" s="47"/>
      <c r="R853" s="47"/>
      <c r="S853" s="49"/>
      <c r="T853" s="49"/>
      <c r="U853" s="47"/>
      <c r="V853" s="50"/>
      <c r="W853" s="47"/>
      <c r="X853" s="47"/>
      <c r="Y853" s="47"/>
      <c r="Z853" s="49"/>
      <c r="AA853" s="49"/>
      <c r="AB853" s="20"/>
    </row>
    <row r="854" spans="1:28" ht="15.75" customHeight="1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8"/>
      <c r="K854" s="47"/>
      <c r="L854" s="47"/>
      <c r="M854" s="47"/>
      <c r="N854" s="47"/>
      <c r="O854" s="47"/>
      <c r="P854" s="47"/>
      <c r="Q854" s="47"/>
      <c r="R854" s="47"/>
      <c r="S854" s="49"/>
      <c r="T854" s="49"/>
      <c r="U854" s="47"/>
      <c r="V854" s="50"/>
      <c r="W854" s="47"/>
      <c r="X854" s="47"/>
      <c r="Y854" s="47"/>
      <c r="Z854" s="49"/>
      <c r="AA854" s="49"/>
      <c r="AB854" s="20"/>
    </row>
    <row r="855" spans="1:28" ht="15.75" customHeight="1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8"/>
      <c r="K855" s="47"/>
      <c r="L855" s="47"/>
      <c r="M855" s="47"/>
      <c r="N855" s="47"/>
      <c r="O855" s="47"/>
      <c r="P855" s="47"/>
      <c r="Q855" s="47"/>
      <c r="R855" s="47"/>
      <c r="S855" s="49"/>
      <c r="T855" s="49"/>
      <c r="U855" s="47"/>
      <c r="V855" s="50"/>
      <c r="W855" s="47"/>
      <c r="X855" s="47"/>
      <c r="Y855" s="47"/>
      <c r="Z855" s="49"/>
      <c r="AA855" s="49"/>
      <c r="AB855" s="20"/>
    </row>
    <row r="856" spans="1:28" ht="15.75" customHeight="1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8"/>
      <c r="K856" s="47"/>
      <c r="L856" s="47"/>
      <c r="M856" s="47"/>
      <c r="N856" s="47"/>
      <c r="O856" s="47"/>
      <c r="P856" s="47"/>
      <c r="Q856" s="47"/>
      <c r="R856" s="47"/>
      <c r="S856" s="49"/>
      <c r="T856" s="49"/>
      <c r="U856" s="47"/>
      <c r="V856" s="50"/>
      <c r="W856" s="47"/>
      <c r="X856" s="47"/>
      <c r="Y856" s="47"/>
      <c r="Z856" s="49"/>
      <c r="AA856" s="49"/>
      <c r="AB856" s="20"/>
    </row>
    <row r="857" spans="1:28" ht="15.75" customHeight="1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8"/>
      <c r="K857" s="47"/>
      <c r="L857" s="47"/>
      <c r="M857" s="47"/>
      <c r="N857" s="47"/>
      <c r="O857" s="47"/>
      <c r="P857" s="47"/>
      <c r="Q857" s="47"/>
      <c r="R857" s="47"/>
      <c r="S857" s="49"/>
      <c r="T857" s="49"/>
      <c r="U857" s="47"/>
      <c r="V857" s="50"/>
      <c r="W857" s="47"/>
      <c r="X857" s="47"/>
      <c r="Y857" s="47"/>
      <c r="Z857" s="49"/>
      <c r="AA857" s="49"/>
      <c r="AB857" s="20"/>
    </row>
    <row r="858" spans="1:28" ht="15.75" customHeight="1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8"/>
      <c r="K858" s="47"/>
      <c r="L858" s="47"/>
      <c r="M858" s="47"/>
      <c r="N858" s="47"/>
      <c r="O858" s="47"/>
      <c r="P858" s="47"/>
      <c r="Q858" s="47"/>
      <c r="R858" s="47"/>
      <c r="S858" s="49"/>
      <c r="T858" s="49"/>
      <c r="U858" s="47"/>
      <c r="V858" s="50"/>
      <c r="W858" s="47"/>
      <c r="X858" s="47"/>
      <c r="Y858" s="47"/>
      <c r="Z858" s="49"/>
      <c r="AA858" s="49"/>
      <c r="AB858" s="20"/>
    </row>
    <row r="859" spans="1:28" ht="15.75" customHeight="1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8"/>
      <c r="K859" s="47"/>
      <c r="L859" s="47"/>
      <c r="M859" s="47"/>
      <c r="N859" s="47"/>
      <c r="O859" s="47"/>
      <c r="P859" s="47"/>
      <c r="Q859" s="47"/>
      <c r="R859" s="47"/>
      <c r="S859" s="49"/>
      <c r="T859" s="49"/>
      <c r="U859" s="47"/>
      <c r="V859" s="50"/>
      <c r="W859" s="47"/>
      <c r="X859" s="47"/>
      <c r="Y859" s="47"/>
      <c r="Z859" s="49"/>
      <c r="AA859" s="49"/>
      <c r="AB859" s="20"/>
    </row>
    <row r="860" spans="1:28" ht="15.75" customHeight="1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8"/>
      <c r="K860" s="47"/>
      <c r="L860" s="47"/>
      <c r="M860" s="47"/>
      <c r="N860" s="47"/>
      <c r="O860" s="47"/>
      <c r="P860" s="47"/>
      <c r="Q860" s="47"/>
      <c r="R860" s="47"/>
      <c r="S860" s="49"/>
      <c r="T860" s="49"/>
      <c r="U860" s="47"/>
      <c r="V860" s="50"/>
      <c r="W860" s="47"/>
      <c r="X860" s="47"/>
      <c r="Y860" s="47"/>
      <c r="Z860" s="49"/>
      <c r="AA860" s="49"/>
      <c r="AB860" s="20"/>
    </row>
    <row r="861" spans="1:28" ht="15.75" customHeight="1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8"/>
      <c r="K861" s="47"/>
      <c r="L861" s="47"/>
      <c r="M861" s="47"/>
      <c r="N861" s="47"/>
      <c r="O861" s="47"/>
      <c r="P861" s="47"/>
      <c r="Q861" s="47"/>
      <c r="R861" s="47"/>
      <c r="S861" s="49"/>
      <c r="T861" s="49"/>
      <c r="U861" s="47"/>
      <c r="V861" s="50"/>
      <c r="W861" s="47"/>
      <c r="X861" s="47"/>
      <c r="Y861" s="47"/>
      <c r="Z861" s="49"/>
      <c r="AA861" s="49"/>
      <c r="AB861" s="20"/>
    </row>
    <row r="862" spans="1:28" ht="15.75" customHeight="1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8"/>
      <c r="K862" s="47"/>
      <c r="L862" s="47"/>
      <c r="M862" s="47"/>
      <c r="N862" s="47"/>
      <c r="O862" s="47"/>
      <c r="P862" s="47"/>
      <c r="Q862" s="47"/>
      <c r="R862" s="47"/>
      <c r="S862" s="49"/>
      <c r="T862" s="49"/>
      <c r="U862" s="47"/>
      <c r="V862" s="50"/>
      <c r="W862" s="47"/>
      <c r="X862" s="47"/>
      <c r="Y862" s="47"/>
      <c r="Z862" s="49"/>
      <c r="AA862" s="49"/>
      <c r="AB862" s="20"/>
    </row>
    <row r="863" spans="1:28" ht="15.75" customHeight="1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8"/>
      <c r="K863" s="47"/>
      <c r="L863" s="47"/>
      <c r="M863" s="47"/>
      <c r="N863" s="47"/>
      <c r="O863" s="47"/>
      <c r="P863" s="47"/>
      <c r="Q863" s="47"/>
      <c r="R863" s="47"/>
      <c r="S863" s="49"/>
      <c r="T863" s="49"/>
      <c r="U863" s="47"/>
      <c r="V863" s="50"/>
      <c r="W863" s="47"/>
      <c r="X863" s="47"/>
      <c r="Y863" s="47"/>
      <c r="Z863" s="49"/>
      <c r="AA863" s="49"/>
      <c r="AB863" s="20"/>
    </row>
    <row r="864" spans="1:28" ht="15.75" customHeight="1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8"/>
      <c r="K864" s="47"/>
      <c r="L864" s="47"/>
      <c r="M864" s="47"/>
      <c r="N864" s="47"/>
      <c r="O864" s="47"/>
      <c r="P864" s="47"/>
      <c r="Q864" s="47"/>
      <c r="R864" s="47"/>
      <c r="S864" s="49"/>
      <c r="T864" s="49"/>
      <c r="U864" s="47"/>
      <c r="V864" s="50"/>
      <c r="W864" s="47"/>
      <c r="X864" s="47"/>
      <c r="Y864" s="47"/>
      <c r="Z864" s="49"/>
      <c r="AA864" s="49"/>
      <c r="AB864" s="20"/>
    </row>
    <row r="865" spans="1:28" ht="15.75" customHeight="1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8"/>
      <c r="K865" s="47"/>
      <c r="L865" s="47"/>
      <c r="M865" s="47"/>
      <c r="N865" s="47"/>
      <c r="O865" s="47"/>
      <c r="P865" s="47"/>
      <c r="Q865" s="47"/>
      <c r="R865" s="47"/>
      <c r="S865" s="49"/>
      <c r="T865" s="49"/>
      <c r="U865" s="47"/>
      <c r="V865" s="50"/>
      <c r="W865" s="47"/>
      <c r="X865" s="47"/>
      <c r="Y865" s="47"/>
      <c r="Z865" s="49"/>
      <c r="AA865" s="49"/>
      <c r="AB865" s="20"/>
    </row>
    <row r="866" spans="1:28" ht="15.75" customHeight="1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8"/>
      <c r="K866" s="47"/>
      <c r="L866" s="47"/>
      <c r="M866" s="47"/>
      <c r="N866" s="47"/>
      <c r="O866" s="47"/>
      <c r="P866" s="47"/>
      <c r="Q866" s="47"/>
      <c r="R866" s="47"/>
      <c r="S866" s="49"/>
      <c r="T866" s="49"/>
      <c r="U866" s="47"/>
      <c r="V866" s="50"/>
      <c r="W866" s="47"/>
      <c r="X866" s="47"/>
      <c r="Y866" s="47"/>
      <c r="Z866" s="49"/>
      <c r="AA866" s="49"/>
      <c r="AB866" s="20"/>
    </row>
    <row r="867" spans="1:28" ht="15.75" customHeight="1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8"/>
      <c r="K867" s="47"/>
      <c r="L867" s="47"/>
      <c r="M867" s="47"/>
      <c r="N867" s="47"/>
      <c r="O867" s="47"/>
      <c r="P867" s="47"/>
      <c r="Q867" s="47"/>
      <c r="R867" s="47"/>
      <c r="S867" s="49"/>
      <c r="T867" s="49"/>
      <c r="U867" s="47"/>
      <c r="V867" s="50"/>
      <c r="W867" s="47"/>
      <c r="X867" s="47"/>
      <c r="Y867" s="47"/>
      <c r="Z867" s="49"/>
      <c r="AA867" s="49"/>
      <c r="AB867" s="20"/>
    </row>
    <row r="868" spans="1:28" ht="15.75" customHeight="1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8"/>
      <c r="K868" s="47"/>
      <c r="L868" s="47"/>
      <c r="M868" s="47"/>
      <c r="N868" s="47"/>
      <c r="O868" s="47"/>
      <c r="P868" s="47"/>
      <c r="Q868" s="47"/>
      <c r="R868" s="47"/>
      <c r="S868" s="49"/>
      <c r="T868" s="49"/>
      <c r="U868" s="47"/>
      <c r="V868" s="50"/>
      <c r="W868" s="47"/>
      <c r="X868" s="47"/>
      <c r="Y868" s="47"/>
      <c r="Z868" s="49"/>
      <c r="AA868" s="49"/>
      <c r="AB868" s="20"/>
    </row>
    <row r="869" spans="1:28" ht="15.75" customHeight="1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8"/>
      <c r="K869" s="47"/>
      <c r="L869" s="47"/>
      <c r="M869" s="47"/>
      <c r="N869" s="47"/>
      <c r="O869" s="47"/>
      <c r="P869" s="47"/>
      <c r="Q869" s="47"/>
      <c r="R869" s="47"/>
      <c r="S869" s="49"/>
      <c r="T869" s="49"/>
      <c r="U869" s="47"/>
      <c r="V869" s="50"/>
      <c r="W869" s="47"/>
      <c r="X869" s="47"/>
      <c r="Y869" s="47"/>
      <c r="Z869" s="49"/>
      <c r="AA869" s="49"/>
      <c r="AB869" s="20"/>
    </row>
    <row r="870" spans="1:28" ht="15.75" customHeight="1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8"/>
      <c r="K870" s="47"/>
      <c r="L870" s="47"/>
      <c r="M870" s="47"/>
      <c r="N870" s="47"/>
      <c r="O870" s="47"/>
      <c r="P870" s="47"/>
      <c r="Q870" s="47"/>
      <c r="R870" s="47"/>
      <c r="S870" s="49"/>
      <c r="T870" s="49"/>
      <c r="U870" s="47"/>
      <c r="V870" s="50"/>
      <c r="W870" s="47"/>
      <c r="X870" s="47"/>
      <c r="Y870" s="47"/>
      <c r="Z870" s="49"/>
      <c r="AA870" s="49"/>
      <c r="AB870" s="20"/>
    </row>
    <row r="871" spans="1:28" ht="15.75" customHeight="1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8"/>
      <c r="K871" s="47"/>
      <c r="L871" s="47"/>
      <c r="M871" s="47"/>
      <c r="N871" s="47"/>
      <c r="O871" s="47"/>
      <c r="P871" s="47"/>
      <c r="Q871" s="47"/>
      <c r="R871" s="47"/>
      <c r="S871" s="49"/>
      <c r="T871" s="49"/>
      <c r="U871" s="47"/>
      <c r="V871" s="50"/>
      <c r="W871" s="47"/>
      <c r="X871" s="47"/>
      <c r="Y871" s="47"/>
      <c r="Z871" s="49"/>
      <c r="AA871" s="49"/>
      <c r="AB871" s="20"/>
    </row>
    <row r="872" spans="1:28" ht="15.75" customHeight="1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8"/>
      <c r="K872" s="47"/>
      <c r="L872" s="47"/>
      <c r="M872" s="47"/>
      <c r="N872" s="47"/>
      <c r="O872" s="47"/>
      <c r="P872" s="47"/>
      <c r="Q872" s="47"/>
      <c r="R872" s="47"/>
      <c r="S872" s="49"/>
      <c r="T872" s="49"/>
      <c r="U872" s="47"/>
      <c r="V872" s="50"/>
      <c r="W872" s="47"/>
      <c r="X872" s="47"/>
      <c r="Y872" s="47"/>
      <c r="Z872" s="49"/>
      <c r="AA872" s="49"/>
      <c r="AB872" s="20"/>
    </row>
    <row r="873" spans="1:28" ht="15.75" customHeight="1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8"/>
      <c r="K873" s="47"/>
      <c r="L873" s="47"/>
      <c r="M873" s="47"/>
      <c r="N873" s="47"/>
      <c r="O873" s="47"/>
      <c r="P873" s="47"/>
      <c r="Q873" s="47"/>
      <c r="R873" s="47"/>
      <c r="S873" s="49"/>
      <c r="T873" s="49"/>
      <c r="U873" s="47"/>
      <c r="V873" s="50"/>
      <c r="W873" s="47"/>
      <c r="X873" s="47"/>
      <c r="Y873" s="47"/>
      <c r="Z873" s="49"/>
      <c r="AA873" s="49"/>
      <c r="AB873" s="20"/>
    </row>
    <row r="874" spans="1:28" ht="15.75" customHeight="1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8"/>
      <c r="K874" s="47"/>
      <c r="L874" s="47"/>
      <c r="M874" s="47"/>
      <c r="N874" s="47"/>
      <c r="O874" s="47"/>
      <c r="P874" s="47"/>
      <c r="Q874" s="47"/>
      <c r="R874" s="47"/>
      <c r="S874" s="49"/>
      <c r="T874" s="49"/>
      <c r="U874" s="47"/>
      <c r="V874" s="50"/>
      <c r="W874" s="47"/>
      <c r="X874" s="47"/>
      <c r="Y874" s="47"/>
      <c r="Z874" s="49"/>
      <c r="AA874" s="49"/>
      <c r="AB874" s="20"/>
    </row>
    <row r="875" spans="1:28" ht="15.75" customHeight="1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8"/>
      <c r="K875" s="47"/>
      <c r="L875" s="47"/>
      <c r="M875" s="47"/>
      <c r="N875" s="47"/>
      <c r="O875" s="47"/>
      <c r="P875" s="47"/>
      <c r="Q875" s="47"/>
      <c r="R875" s="47"/>
      <c r="S875" s="49"/>
      <c r="T875" s="49"/>
      <c r="U875" s="47"/>
      <c r="V875" s="50"/>
      <c r="W875" s="47"/>
      <c r="X875" s="47"/>
      <c r="Y875" s="47"/>
      <c r="Z875" s="49"/>
      <c r="AA875" s="49"/>
      <c r="AB875" s="20"/>
    </row>
    <row r="876" spans="1:28" ht="15.75" customHeight="1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8"/>
      <c r="K876" s="47"/>
      <c r="L876" s="47"/>
      <c r="M876" s="47"/>
      <c r="N876" s="47"/>
      <c r="O876" s="47"/>
      <c r="P876" s="47"/>
      <c r="Q876" s="47"/>
      <c r="R876" s="47"/>
      <c r="S876" s="49"/>
      <c r="T876" s="49"/>
      <c r="U876" s="47"/>
      <c r="V876" s="50"/>
      <c r="W876" s="47"/>
      <c r="X876" s="47"/>
      <c r="Y876" s="47"/>
      <c r="Z876" s="49"/>
      <c r="AA876" s="49"/>
      <c r="AB876" s="20"/>
    </row>
    <row r="877" spans="1:28" ht="15.75" customHeight="1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8"/>
      <c r="K877" s="47"/>
      <c r="L877" s="47"/>
      <c r="M877" s="47"/>
      <c r="N877" s="47"/>
      <c r="O877" s="47"/>
      <c r="P877" s="47"/>
      <c r="Q877" s="47"/>
      <c r="R877" s="47"/>
      <c r="S877" s="49"/>
      <c r="T877" s="49"/>
      <c r="U877" s="47"/>
      <c r="V877" s="50"/>
      <c r="W877" s="47"/>
      <c r="X877" s="47"/>
      <c r="Y877" s="47"/>
      <c r="Z877" s="49"/>
      <c r="AA877" s="49"/>
      <c r="AB877" s="20"/>
    </row>
    <row r="878" spans="1:28" ht="15.75" customHeight="1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8"/>
      <c r="K878" s="47"/>
      <c r="L878" s="47"/>
      <c r="M878" s="47"/>
      <c r="N878" s="47"/>
      <c r="O878" s="47"/>
      <c r="P878" s="47"/>
      <c r="Q878" s="47"/>
      <c r="R878" s="47"/>
      <c r="S878" s="49"/>
      <c r="T878" s="49"/>
      <c r="U878" s="47"/>
      <c r="V878" s="50"/>
      <c r="W878" s="47"/>
      <c r="X878" s="47"/>
      <c r="Y878" s="47"/>
      <c r="Z878" s="49"/>
      <c r="AA878" s="49"/>
      <c r="AB878" s="20"/>
    </row>
    <row r="879" spans="1:28" ht="15.75" customHeight="1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8"/>
      <c r="K879" s="47"/>
      <c r="L879" s="47"/>
      <c r="M879" s="47"/>
      <c r="N879" s="47"/>
      <c r="O879" s="47"/>
      <c r="P879" s="47"/>
      <c r="Q879" s="47"/>
      <c r="R879" s="47"/>
      <c r="S879" s="49"/>
      <c r="T879" s="49"/>
      <c r="U879" s="47"/>
      <c r="V879" s="50"/>
      <c r="W879" s="47"/>
      <c r="X879" s="47"/>
      <c r="Y879" s="47"/>
      <c r="Z879" s="49"/>
      <c r="AA879" s="49"/>
      <c r="AB879" s="20"/>
    </row>
    <row r="880" spans="1:28" ht="15.75" customHeight="1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8"/>
      <c r="K880" s="47"/>
      <c r="L880" s="47"/>
      <c r="M880" s="47"/>
      <c r="N880" s="47"/>
      <c r="O880" s="47"/>
      <c r="P880" s="47"/>
      <c r="Q880" s="47"/>
      <c r="R880" s="47"/>
      <c r="S880" s="49"/>
      <c r="T880" s="49"/>
      <c r="U880" s="47"/>
      <c r="V880" s="50"/>
      <c r="W880" s="47"/>
      <c r="X880" s="47"/>
      <c r="Y880" s="47"/>
      <c r="Z880" s="49"/>
      <c r="AA880" s="49"/>
      <c r="AB880" s="20"/>
    </row>
    <row r="881" spans="1:28" ht="15.75" customHeight="1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8"/>
      <c r="K881" s="47"/>
      <c r="L881" s="47"/>
      <c r="M881" s="47"/>
      <c r="N881" s="47"/>
      <c r="O881" s="47"/>
      <c r="P881" s="47"/>
      <c r="Q881" s="47"/>
      <c r="R881" s="47"/>
      <c r="S881" s="49"/>
      <c r="T881" s="49"/>
      <c r="U881" s="47"/>
      <c r="V881" s="50"/>
      <c r="W881" s="47"/>
      <c r="X881" s="47"/>
      <c r="Y881" s="47"/>
      <c r="Z881" s="49"/>
      <c r="AA881" s="49"/>
      <c r="AB881" s="20"/>
    </row>
    <row r="882" spans="1:28" ht="15.75" customHeight="1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8"/>
      <c r="K882" s="47"/>
      <c r="L882" s="47"/>
      <c r="M882" s="47"/>
      <c r="N882" s="47"/>
      <c r="O882" s="47"/>
      <c r="P882" s="47"/>
      <c r="Q882" s="47"/>
      <c r="R882" s="47"/>
      <c r="S882" s="49"/>
      <c r="T882" s="49"/>
      <c r="U882" s="47"/>
      <c r="V882" s="50"/>
      <c r="W882" s="47"/>
      <c r="X882" s="47"/>
      <c r="Y882" s="47"/>
      <c r="Z882" s="49"/>
      <c r="AA882" s="49"/>
      <c r="AB882" s="20"/>
    </row>
    <row r="883" spans="1:28" ht="15.75" customHeight="1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8"/>
      <c r="K883" s="47"/>
      <c r="L883" s="47"/>
      <c r="M883" s="47"/>
      <c r="N883" s="47"/>
      <c r="O883" s="47"/>
      <c r="P883" s="47"/>
      <c r="Q883" s="47"/>
      <c r="R883" s="47"/>
      <c r="S883" s="49"/>
      <c r="T883" s="49"/>
      <c r="U883" s="47"/>
      <c r="V883" s="50"/>
      <c r="W883" s="47"/>
      <c r="X883" s="47"/>
      <c r="Y883" s="47"/>
      <c r="Z883" s="49"/>
      <c r="AA883" s="49"/>
      <c r="AB883" s="20"/>
    </row>
    <row r="884" spans="1:28" ht="15.75" customHeight="1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8"/>
      <c r="K884" s="47"/>
      <c r="L884" s="47"/>
      <c r="M884" s="47"/>
      <c r="N884" s="47"/>
      <c r="O884" s="47"/>
      <c r="P884" s="47"/>
      <c r="Q884" s="47"/>
      <c r="R884" s="47"/>
      <c r="S884" s="49"/>
      <c r="T884" s="49"/>
      <c r="U884" s="47"/>
      <c r="V884" s="50"/>
      <c r="W884" s="47"/>
      <c r="X884" s="47"/>
      <c r="Y884" s="47"/>
      <c r="Z884" s="49"/>
      <c r="AA884" s="49"/>
      <c r="AB884" s="20"/>
    </row>
    <row r="885" spans="1:28" ht="15.75" customHeight="1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8"/>
      <c r="K885" s="47"/>
      <c r="L885" s="47"/>
      <c r="M885" s="47"/>
      <c r="N885" s="47"/>
      <c r="O885" s="47"/>
      <c r="P885" s="47"/>
      <c r="Q885" s="47"/>
      <c r="R885" s="47"/>
      <c r="S885" s="49"/>
      <c r="T885" s="49"/>
      <c r="U885" s="47"/>
      <c r="V885" s="50"/>
      <c r="W885" s="47"/>
      <c r="X885" s="47"/>
      <c r="Y885" s="47"/>
      <c r="Z885" s="49"/>
      <c r="AA885" s="49"/>
      <c r="AB885" s="20"/>
    </row>
    <row r="886" spans="1:28" ht="15.75" customHeight="1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8"/>
      <c r="K886" s="47"/>
      <c r="L886" s="47"/>
      <c r="M886" s="47"/>
      <c r="N886" s="47"/>
      <c r="O886" s="47"/>
      <c r="P886" s="47"/>
      <c r="Q886" s="47"/>
      <c r="R886" s="47"/>
      <c r="S886" s="49"/>
      <c r="T886" s="49"/>
      <c r="U886" s="47"/>
      <c r="V886" s="50"/>
      <c r="W886" s="47"/>
      <c r="X886" s="47"/>
      <c r="Y886" s="47"/>
      <c r="Z886" s="49"/>
      <c r="AA886" s="49"/>
      <c r="AB886" s="20"/>
    </row>
    <row r="887" spans="1:28" ht="15.75" customHeight="1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8"/>
      <c r="K887" s="47"/>
      <c r="L887" s="47"/>
      <c r="M887" s="47"/>
      <c r="N887" s="47"/>
      <c r="O887" s="47"/>
      <c r="P887" s="47"/>
      <c r="Q887" s="47"/>
      <c r="R887" s="47"/>
      <c r="S887" s="49"/>
      <c r="T887" s="49"/>
      <c r="U887" s="47"/>
      <c r="V887" s="50"/>
      <c r="W887" s="47"/>
      <c r="X887" s="47"/>
      <c r="Y887" s="47"/>
      <c r="Z887" s="49"/>
      <c r="AA887" s="49"/>
      <c r="AB887" s="20"/>
    </row>
    <row r="888" spans="1:28" ht="15.75" customHeight="1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8"/>
      <c r="K888" s="47"/>
      <c r="L888" s="47"/>
      <c r="M888" s="47"/>
      <c r="N888" s="47"/>
      <c r="O888" s="47"/>
      <c r="P888" s="47"/>
      <c r="Q888" s="47"/>
      <c r="R888" s="47"/>
      <c r="S888" s="49"/>
      <c r="T888" s="49"/>
      <c r="U888" s="47"/>
      <c r="V888" s="50"/>
      <c r="W888" s="47"/>
      <c r="X888" s="47"/>
      <c r="Y888" s="47"/>
      <c r="Z888" s="49"/>
      <c r="AA888" s="49"/>
      <c r="AB888" s="20"/>
    </row>
    <row r="889" spans="1:28" ht="15.75" customHeight="1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8"/>
      <c r="K889" s="47"/>
      <c r="L889" s="47"/>
      <c r="M889" s="47"/>
      <c r="N889" s="47"/>
      <c r="O889" s="47"/>
      <c r="P889" s="47"/>
      <c r="Q889" s="47"/>
      <c r="R889" s="47"/>
      <c r="S889" s="49"/>
      <c r="T889" s="49"/>
      <c r="U889" s="47"/>
      <c r="V889" s="50"/>
      <c r="W889" s="47"/>
      <c r="X889" s="47"/>
      <c r="Y889" s="47"/>
      <c r="Z889" s="49"/>
      <c r="AA889" s="49"/>
      <c r="AB889" s="20"/>
    </row>
    <row r="890" spans="1:28" ht="15.75" customHeight="1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8"/>
      <c r="K890" s="47"/>
      <c r="L890" s="47"/>
      <c r="M890" s="47"/>
      <c r="N890" s="47"/>
      <c r="O890" s="47"/>
      <c r="P890" s="47"/>
      <c r="Q890" s="47"/>
      <c r="R890" s="47"/>
      <c r="S890" s="49"/>
      <c r="T890" s="49"/>
      <c r="U890" s="47"/>
      <c r="V890" s="50"/>
      <c r="W890" s="47"/>
      <c r="X890" s="47"/>
      <c r="Y890" s="47"/>
      <c r="Z890" s="49"/>
      <c r="AA890" s="49"/>
      <c r="AB890" s="20"/>
    </row>
    <row r="891" spans="1:28" ht="15.75" customHeight="1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8"/>
      <c r="K891" s="47"/>
      <c r="L891" s="47"/>
      <c r="M891" s="47"/>
      <c r="N891" s="47"/>
      <c r="O891" s="47"/>
      <c r="P891" s="47"/>
      <c r="Q891" s="47"/>
      <c r="R891" s="47"/>
      <c r="S891" s="49"/>
      <c r="T891" s="49"/>
      <c r="U891" s="47"/>
      <c r="V891" s="50"/>
      <c r="W891" s="47"/>
      <c r="X891" s="47"/>
      <c r="Y891" s="47"/>
      <c r="Z891" s="49"/>
      <c r="AA891" s="49"/>
      <c r="AB891" s="20"/>
    </row>
    <row r="892" spans="1:28" ht="15.75" customHeight="1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8"/>
      <c r="K892" s="47"/>
      <c r="L892" s="47"/>
      <c r="M892" s="47"/>
      <c r="N892" s="47"/>
      <c r="O892" s="47"/>
      <c r="P892" s="47"/>
      <c r="Q892" s="47"/>
      <c r="R892" s="47"/>
      <c r="S892" s="49"/>
      <c r="T892" s="49"/>
      <c r="U892" s="47"/>
      <c r="V892" s="50"/>
      <c r="W892" s="47"/>
      <c r="X892" s="47"/>
      <c r="Y892" s="47"/>
      <c r="Z892" s="49"/>
      <c r="AA892" s="49"/>
      <c r="AB892" s="20"/>
    </row>
    <row r="893" spans="1:28" ht="15.75" customHeight="1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8"/>
      <c r="K893" s="47"/>
      <c r="L893" s="47"/>
      <c r="M893" s="47"/>
      <c r="N893" s="47"/>
      <c r="O893" s="47"/>
      <c r="P893" s="47"/>
      <c r="Q893" s="47"/>
      <c r="R893" s="47"/>
      <c r="S893" s="49"/>
      <c r="T893" s="49"/>
      <c r="U893" s="47"/>
      <c r="V893" s="50"/>
      <c r="W893" s="47"/>
      <c r="X893" s="47"/>
      <c r="Y893" s="47"/>
      <c r="Z893" s="49"/>
      <c r="AA893" s="49"/>
      <c r="AB893" s="20"/>
    </row>
    <row r="894" spans="1:28" ht="15.75" customHeight="1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8"/>
      <c r="K894" s="47"/>
      <c r="L894" s="47"/>
      <c r="M894" s="47"/>
      <c r="N894" s="47"/>
      <c r="O894" s="47"/>
      <c r="P894" s="47"/>
      <c r="Q894" s="47"/>
      <c r="R894" s="47"/>
      <c r="S894" s="49"/>
      <c r="T894" s="49"/>
      <c r="U894" s="47"/>
      <c r="V894" s="50"/>
      <c r="W894" s="47"/>
      <c r="X894" s="47"/>
      <c r="Y894" s="47"/>
      <c r="Z894" s="49"/>
      <c r="AA894" s="49"/>
      <c r="AB894" s="20"/>
    </row>
    <row r="895" spans="1:28" ht="15.75" customHeight="1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8"/>
      <c r="K895" s="47"/>
      <c r="L895" s="47"/>
      <c r="M895" s="47"/>
      <c r="N895" s="47"/>
      <c r="O895" s="47"/>
      <c r="P895" s="47"/>
      <c r="Q895" s="47"/>
      <c r="R895" s="47"/>
      <c r="S895" s="49"/>
      <c r="T895" s="49"/>
      <c r="U895" s="47"/>
      <c r="V895" s="50"/>
      <c r="W895" s="47"/>
      <c r="X895" s="47"/>
      <c r="Y895" s="47"/>
      <c r="Z895" s="49"/>
      <c r="AA895" s="49"/>
      <c r="AB895" s="20"/>
    </row>
    <row r="896" spans="1:28" ht="15.75" customHeight="1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8"/>
      <c r="K896" s="47"/>
      <c r="L896" s="47"/>
      <c r="M896" s="47"/>
      <c r="N896" s="47"/>
      <c r="O896" s="47"/>
      <c r="P896" s="47"/>
      <c r="Q896" s="47"/>
      <c r="R896" s="47"/>
      <c r="S896" s="49"/>
      <c r="T896" s="49"/>
      <c r="U896" s="47"/>
      <c r="V896" s="50"/>
      <c r="W896" s="47"/>
      <c r="X896" s="47"/>
      <c r="Y896" s="47"/>
      <c r="Z896" s="49"/>
      <c r="AA896" s="49"/>
      <c r="AB896" s="20"/>
    </row>
    <row r="897" spans="1:28" ht="15.75" customHeight="1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8"/>
      <c r="K897" s="47"/>
      <c r="L897" s="47"/>
      <c r="M897" s="47"/>
      <c r="N897" s="47"/>
      <c r="O897" s="47"/>
      <c r="P897" s="47"/>
      <c r="Q897" s="47"/>
      <c r="R897" s="47"/>
      <c r="S897" s="49"/>
      <c r="T897" s="49"/>
      <c r="U897" s="47"/>
      <c r="V897" s="50"/>
      <c r="W897" s="47"/>
      <c r="X897" s="47"/>
      <c r="Y897" s="47"/>
      <c r="Z897" s="49"/>
      <c r="AA897" s="49"/>
      <c r="AB897" s="20"/>
    </row>
    <row r="898" spans="1:28" ht="15.75" customHeight="1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8"/>
      <c r="K898" s="47"/>
      <c r="L898" s="47"/>
      <c r="M898" s="47"/>
      <c r="N898" s="47"/>
      <c r="O898" s="47"/>
      <c r="P898" s="47"/>
      <c r="Q898" s="47"/>
      <c r="R898" s="47"/>
      <c r="S898" s="49"/>
      <c r="T898" s="49"/>
      <c r="U898" s="47"/>
      <c r="V898" s="50"/>
      <c r="W898" s="47"/>
      <c r="X898" s="47"/>
      <c r="Y898" s="47"/>
      <c r="Z898" s="49"/>
      <c r="AA898" s="49"/>
      <c r="AB898" s="20"/>
    </row>
    <row r="899" spans="1:28" ht="15.75" customHeight="1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8"/>
      <c r="K899" s="47"/>
      <c r="L899" s="47"/>
      <c r="M899" s="47"/>
      <c r="N899" s="47"/>
      <c r="O899" s="47"/>
      <c r="P899" s="47"/>
      <c r="Q899" s="47"/>
      <c r="R899" s="47"/>
      <c r="S899" s="49"/>
      <c r="T899" s="49"/>
      <c r="U899" s="47"/>
      <c r="V899" s="50"/>
      <c r="W899" s="47"/>
      <c r="X899" s="47"/>
      <c r="Y899" s="47"/>
      <c r="Z899" s="49"/>
      <c r="AA899" s="49"/>
      <c r="AB899" s="20"/>
    </row>
    <row r="900" spans="1:28" ht="15.75" customHeight="1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8"/>
      <c r="K900" s="47"/>
      <c r="L900" s="47"/>
      <c r="M900" s="47"/>
      <c r="N900" s="47"/>
      <c r="O900" s="47"/>
      <c r="P900" s="47"/>
      <c r="Q900" s="47"/>
      <c r="R900" s="47"/>
      <c r="S900" s="49"/>
      <c r="T900" s="49"/>
      <c r="U900" s="47"/>
      <c r="V900" s="50"/>
      <c r="W900" s="47"/>
      <c r="X900" s="47"/>
      <c r="Y900" s="47"/>
      <c r="Z900" s="49"/>
      <c r="AA900" s="49"/>
      <c r="AB900" s="20"/>
    </row>
    <row r="901" spans="1:28" ht="15.75" customHeight="1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8"/>
      <c r="K901" s="47"/>
      <c r="L901" s="47"/>
      <c r="M901" s="47"/>
      <c r="N901" s="47"/>
      <c r="O901" s="47"/>
      <c r="P901" s="47"/>
      <c r="Q901" s="47"/>
      <c r="R901" s="47"/>
      <c r="S901" s="49"/>
      <c r="T901" s="49"/>
      <c r="U901" s="47"/>
      <c r="V901" s="50"/>
      <c r="W901" s="47"/>
      <c r="X901" s="47"/>
      <c r="Y901" s="47"/>
      <c r="Z901" s="49"/>
      <c r="AA901" s="49"/>
      <c r="AB901" s="20"/>
    </row>
    <row r="902" spans="1:28" ht="15.75" customHeight="1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8"/>
      <c r="K902" s="47"/>
      <c r="L902" s="47"/>
      <c r="M902" s="47"/>
      <c r="N902" s="47"/>
      <c r="O902" s="47"/>
      <c r="P902" s="47"/>
      <c r="Q902" s="47"/>
      <c r="R902" s="47"/>
      <c r="S902" s="49"/>
      <c r="T902" s="49"/>
      <c r="U902" s="47"/>
      <c r="V902" s="50"/>
      <c r="W902" s="47"/>
      <c r="X902" s="47"/>
      <c r="Y902" s="47"/>
      <c r="Z902" s="49"/>
      <c r="AA902" s="49"/>
      <c r="AB902" s="20"/>
    </row>
    <row r="903" spans="1:28" ht="15.75" customHeight="1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8"/>
      <c r="K903" s="47"/>
      <c r="L903" s="47"/>
      <c r="M903" s="47"/>
      <c r="N903" s="47"/>
      <c r="O903" s="47"/>
      <c r="P903" s="47"/>
      <c r="Q903" s="47"/>
      <c r="R903" s="47"/>
      <c r="S903" s="49"/>
      <c r="T903" s="49"/>
      <c r="U903" s="47"/>
      <c r="V903" s="50"/>
      <c r="W903" s="47"/>
      <c r="X903" s="47"/>
      <c r="Y903" s="47"/>
      <c r="Z903" s="49"/>
      <c r="AA903" s="49"/>
      <c r="AB903" s="20"/>
    </row>
    <row r="904" spans="1:28" ht="15.75" customHeight="1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8"/>
      <c r="K904" s="47"/>
      <c r="L904" s="47"/>
      <c r="M904" s="47"/>
      <c r="N904" s="47"/>
      <c r="O904" s="47"/>
      <c r="P904" s="47"/>
      <c r="Q904" s="47"/>
      <c r="R904" s="47"/>
      <c r="S904" s="49"/>
      <c r="T904" s="49"/>
      <c r="U904" s="47"/>
      <c r="V904" s="50"/>
      <c r="W904" s="47"/>
      <c r="X904" s="47"/>
      <c r="Y904" s="47"/>
      <c r="Z904" s="49"/>
      <c r="AA904" s="49"/>
      <c r="AB904" s="20"/>
    </row>
    <row r="905" spans="1:28" ht="15.75" customHeight="1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8"/>
      <c r="K905" s="47"/>
      <c r="L905" s="47"/>
      <c r="M905" s="47"/>
      <c r="N905" s="47"/>
      <c r="O905" s="47"/>
      <c r="P905" s="47"/>
      <c r="Q905" s="47"/>
      <c r="R905" s="47"/>
      <c r="S905" s="49"/>
      <c r="T905" s="49"/>
      <c r="U905" s="47"/>
      <c r="V905" s="50"/>
      <c r="W905" s="47"/>
      <c r="X905" s="47"/>
      <c r="Y905" s="47"/>
      <c r="Z905" s="49"/>
      <c r="AA905" s="49"/>
      <c r="AB905" s="20"/>
    </row>
    <row r="906" spans="1:28" ht="15.75" customHeight="1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8"/>
      <c r="K906" s="47"/>
      <c r="L906" s="47"/>
      <c r="M906" s="47"/>
      <c r="N906" s="47"/>
      <c r="O906" s="47"/>
      <c r="P906" s="47"/>
      <c r="Q906" s="47"/>
      <c r="R906" s="47"/>
      <c r="S906" s="49"/>
      <c r="T906" s="49"/>
      <c r="U906" s="47"/>
      <c r="V906" s="50"/>
      <c r="W906" s="47"/>
      <c r="X906" s="47"/>
      <c r="Y906" s="47"/>
      <c r="Z906" s="49"/>
      <c r="AA906" s="49"/>
      <c r="AB906" s="20"/>
    </row>
    <row r="907" spans="1:28" ht="15.75" customHeight="1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8"/>
      <c r="K907" s="47"/>
      <c r="L907" s="47"/>
      <c r="M907" s="47"/>
      <c r="N907" s="47"/>
      <c r="O907" s="47"/>
      <c r="P907" s="47"/>
      <c r="Q907" s="47"/>
      <c r="R907" s="47"/>
      <c r="S907" s="49"/>
      <c r="T907" s="49"/>
      <c r="U907" s="47"/>
      <c r="V907" s="50"/>
      <c r="W907" s="47"/>
      <c r="X907" s="47"/>
      <c r="Y907" s="47"/>
      <c r="Z907" s="49"/>
      <c r="AA907" s="49"/>
      <c r="AB907" s="20"/>
    </row>
    <row r="908" spans="1:28" ht="15.75" customHeight="1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8"/>
      <c r="K908" s="47"/>
      <c r="L908" s="47"/>
      <c r="M908" s="47"/>
      <c r="N908" s="47"/>
      <c r="O908" s="47"/>
      <c r="P908" s="47"/>
      <c r="Q908" s="47"/>
      <c r="R908" s="47"/>
      <c r="S908" s="49"/>
      <c r="T908" s="49"/>
      <c r="U908" s="47"/>
      <c r="V908" s="50"/>
      <c r="W908" s="47"/>
      <c r="X908" s="47"/>
      <c r="Y908" s="47"/>
      <c r="Z908" s="49"/>
      <c r="AA908" s="49"/>
      <c r="AB908" s="20"/>
    </row>
    <row r="909" spans="1:28" ht="15.75" customHeight="1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8"/>
      <c r="K909" s="47"/>
      <c r="L909" s="47"/>
      <c r="M909" s="47"/>
      <c r="N909" s="47"/>
      <c r="O909" s="47"/>
      <c r="P909" s="47"/>
      <c r="Q909" s="47"/>
      <c r="R909" s="47"/>
      <c r="S909" s="49"/>
      <c r="T909" s="49"/>
      <c r="U909" s="47"/>
      <c r="V909" s="50"/>
      <c r="W909" s="47"/>
      <c r="X909" s="47"/>
      <c r="Y909" s="47"/>
      <c r="Z909" s="49"/>
      <c r="AA909" s="49"/>
      <c r="AB909" s="20"/>
    </row>
    <row r="910" spans="1:28" ht="15.75" customHeight="1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8"/>
      <c r="K910" s="47"/>
      <c r="L910" s="47"/>
      <c r="M910" s="47"/>
      <c r="N910" s="47"/>
      <c r="O910" s="47"/>
      <c r="P910" s="47"/>
      <c r="Q910" s="47"/>
      <c r="R910" s="47"/>
      <c r="S910" s="49"/>
      <c r="T910" s="49"/>
      <c r="U910" s="47"/>
      <c r="V910" s="50"/>
      <c r="W910" s="47"/>
      <c r="X910" s="47"/>
      <c r="Y910" s="47"/>
      <c r="Z910" s="49"/>
      <c r="AA910" s="49"/>
      <c r="AB910" s="20"/>
    </row>
    <row r="911" spans="1:28" ht="15.75" customHeight="1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8"/>
      <c r="K911" s="47"/>
      <c r="L911" s="47"/>
      <c r="M911" s="47"/>
      <c r="N911" s="47"/>
      <c r="O911" s="47"/>
      <c r="P911" s="47"/>
      <c r="Q911" s="47"/>
      <c r="R911" s="47"/>
      <c r="S911" s="49"/>
      <c r="T911" s="49"/>
      <c r="U911" s="47"/>
      <c r="V911" s="50"/>
      <c r="W911" s="47"/>
      <c r="X911" s="47"/>
      <c r="Y911" s="47"/>
      <c r="Z911" s="49"/>
      <c r="AA911" s="49"/>
      <c r="AB911" s="20"/>
    </row>
    <row r="912" spans="1:28" ht="15.75" customHeight="1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8"/>
      <c r="K912" s="47"/>
      <c r="L912" s="47"/>
      <c r="M912" s="47"/>
      <c r="N912" s="47"/>
      <c r="O912" s="47"/>
      <c r="P912" s="47"/>
      <c r="Q912" s="47"/>
      <c r="R912" s="47"/>
      <c r="S912" s="49"/>
      <c r="T912" s="49"/>
      <c r="U912" s="47"/>
      <c r="V912" s="50"/>
      <c r="W912" s="47"/>
      <c r="X912" s="47"/>
      <c r="Y912" s="47"/>
      <c r="Z912" s="49"/>
      <c r="AA912" s="49"/>
      <c r="AB912" s="20"/>
    </row>
    <row r="913" spans="1:28" ht="15.75" customHeight="1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8"/>
      <c r="K913" s="47"/>
      <c r="L913" s="47"/>
      <c r="M913" s="47"/>
      <c r="N913" s="47"/>
      <c r="O913" s="47"/>
      <c r="P913" s="47"/>
      <c r="Q913" s="47"/>
      <c r="R913" s="47"/>
      <c r="S913" s="49"/>
      <c r="T913" s="49"/>
      <c r="U913" s="47"/>
      <c r="V913" s="50"/>
      <c r="W913" s="47"/>
      <c r="X913" s="47"/>
      <c r="Y913" s="47"/>
      <c r="Z913" s="49"/>
      <c r="AA913" s="49"/>
      <c r="AB913" s="20"/>
    </row>
    <row r="914" spans="1:28" ht="15.75" customHeight="1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8"/>
      <c r="K914" s="47"/>
      <c r="L914" s="47"/>
      <c r="M914" s="47"/>
      <c r="N914" s="47"/>
      <c r="O914" s="47"/>
      <c r="P914" s="47"/>
      <c r="Q914" s="47"/>
      <c r="R914" s="47"/>
      <c r="S914" s="49"/>
      <c r="T914" s="49"/>
      <c r="U914" s="47"/>
      <c r="V914" s="50"/>
      <c r="W914" s="47"/>
      <c r="X914" s="47"/>
      <c r="Y914" s="47"/>
      <c r="Z914" s="49"/>
      <c r="AA914" s="49"/>
      <c r="AB914" s="20"/>
    </row>
    <row r="915" spans="1:28" ht="15.75" customHeight="1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8"/>
      <c r="K915" s="47"/>
      <c r="L915" s="47"/>
      <c r="M915" s="47"/>
      <c r="N915" s="47"/>
      <c r="O915" s="47"/>
      <c r="P915" s="47"/>
      <c r="Q915" s="47"/>
      <c r="R915" s="47"/>
      <c r="S915" s="49"/>
      <c r="T915" s="49"/>
      <c r="U915" s="47"/>
      <c r="V915" s="50"/>
      <c r="W915" s="47"/>
      <c r="X915" s="47"/>
      <c r="Y915" s="47"/>
      <c r="Z915" s="49"/>
      <c r="AA915" s="49"/>
      <c r="AB915" s="20"/>
    </row>
    <row r="916" spans="1:28" ht="15.75" customHeight="1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8"/>
      <c r="K916" s="47"/>
      <c r="L916" s="47"/>
      <c r="M916" s="47"/>
      <c r="N916" s="47"/>
      <c r="O916" s="47"/>
      <c r="P916" s="47"/>
      <c r="Q916" s="47"/>
      <c r="R916" s="47"/>
      <c r="S916" s="49"/>
      <c r="T916" s="49"/>
      <c r="U916" s="47"/>
      <c r="V916" s="50"/>
      <c r="W916" s="47"/>
      <c r="X916" s="47"/>
      <c r="Y916" s="47"/>
      <c r="Z916" s="49"/>
      <c r="AA916" s="49"/>
      <c r="AB916" s="20"/>
    </row>
    <row r="917" spans="1:28" ht="15.75" customHeight="1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8"/>
      <c r="K917" s="47"/>
      <c r="L917" s="47"/>
      <c r="M917" s="47"/>
      <c r="N917" s="47"/>
      <c r="O917" s="47"/>
      <c r="P917" s="47"/>
      <c r="Q917" s="47"/>
      <c r="R917" s="47"/>
      <c r="S917" s="49"/>
      <c r="T917" s="49"/>
      <c r="U917" s="47"/>
      <c r="V917" s="50"/>
      <c r="W917" s="47"/>
      <c r="X917" s="47"/>
      <c r="Y917" s="47"/>
      <c r="Z917" s="49"/>
      <c r="AA917" s="49"/>
      <c r="AB917" s="20"/>
    </row>
    <row r="918" spans="1:28" ht="15.75" customHeight="1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8"/>
      <c r="K918" s="47"/>
      <c r="L918" s="47"/>
      <c r="M918" s="47"/>
      <c r="N918" s="47"/>
      <c r="O918" s="47"/>
      <c r="P918" s="47"/>
      <c r="Q918" s="47"/>
      <c r="R918" s="47"/>
      <c r="S918" s="49"/>
      <c r="T918" s="49"/>
      <c r="U918" s="47"/>
      <c r="V918" s="50"/>
      <c r="W918" s="47"/>
      <c r="X918" s="47"/>
      <c r="Y918" s="47"/>
      <c r="Z918" s="49"/>
      <c r="AA918" s="49"/>
      <c r="AB918" s="20"/>
    </row>
    <row r="919" spans="1:28" ht="15.75" customHeight="1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8"/>
      <c r="K919" s="47"/>
      <c r="L919" s="47"/>
      <c r="M919" s="47"/>
      <c r="N919" s="47"/>
      <c r="O919" s="47"/>
      <c r="P919" s="47"/>
      <c r="Q919" s="47"/>
      <c r="R919" s="47"/>
      <c r="S919" s="49"/>
      <c r="T919" s="49"/>
      <c r="U919" s="47"/>
      <c r="V919" s="50"/>
      <c r="W919" s="47"/>
      <c r="X919" s="47"/>
      <c r="Y919" s="47"/>
      <c r="Z919" s="49"/>
      <c r="AA919" s="49"/>
      <c r="AB919" s="20"/>
    </row>
    <row r="920" spans="1:28" ht="15.75" customHeight="1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8"/>
      <c r="K920" s="47"/>
      <c r="L920" s="47"/>
      <c r="M920" s="47"/>
      <c r="N920" s="47"/>
      <c r="O920" s="47"/>
      <c r="P920" s="47"/>
      <c r="Q920" s="47"/>
      <c r="R920" s="47"/>
      <c r="S920" s="49"/>
      <c r="T920" s="49"/>
      <c r="U920" s="47"/>
      <c r="V920" s="50"/>
      <c r="W920" s="47"/>
      <c r="X920" s="47"/>
      <c r="Y920" s="47"/>
      <c r="Z920" s="49"/>
      <c r="AA920" s="49"/>
      <c r="AB920" s="20"/>
    </row>
    <row r="921" spans="1:28" ht="15.75" customHeight="1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8"/>
      <c r="K921" s="47"/>
      <c r="L921" s="47"/>
      <c r="M921" s="47"/>
      <c r="N921" s="47"/>
      <c r="O921" s="47"/>
      <c r="P921" s="47"/>
      <c r="Q921" s="47"/>
      <c r="R921" s="47"/>
      <c r="S921" s="49"/>
      <c r="T921" s="49"/>
      <c r="U921" s="47"/>
      <c r="V921" s="50"/>
      <c r="W921" s="47"/>
      <c r="X921" s="47"/>
      <c r="Y921" s="47"/>
      <c r="Z921" s="49"/>
      <c r="AA921" s="49"/>
      <c r="AB921" s="20"/>
    </row>
    <row r="922" spans="1:28" ht="15.75" customHeight="1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8"/>
      <c r="K922" s="47"/>
      <c r="L922" s="47"/>
      <c r="M922" s="47"/>
      <c r="N922" s="47"/>
      <c r="O922" s="47"/>
      <c r="P922" s="47"/>
      <c r="Q922" s="47"/>
      <c r="R922" s="47"/>
      <c r="S922" s="49"/>
      <c r="T922" s="49"/>
      <c r="U922" s="47"/>
      <c r="V922" s="50"/>
      <c r="W922" s="47"/>
      <c r="X922" s="47"/>
      <c r="Y922" s="47"/>
      <c r="Z922" s="49"/>
      <c r="AA922" s="49"/>
      <c r="AB922" s="20"/>
    </row>
    <row r="923" spans="1:28" ht="15.75" customHeight="1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8"/>
      <c r="K923" s="47"/>
      <c r="L923" s="47"/>
      <c r="M923" s="47"/>
      <c r="N923" s="47"/>
      <c r="O923" s="47"/>
      <c r="P923" s="47"/>
      <c r="Q923" s="47"/>
      <c r="R923" s="47"/>
      <c r="S923" s="49"/>
      <c r="T923" s="49"/>
      <c r="U923" s="47"/>
      <c r="V923" s="50"/>
      <c r="W923" s="47"/>
      <c r="X923" s="47"/>
      <c r="Y923" s="47"/>
      <c r="Z923" s="49"/>
      <c r="AA923" s="49"/>
      <c r="AB923" s="20"/>
    </row>
    <row r="924" spans="1:28" ht="15.75" customHeight="1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8"/>
      <c r="K924" s="47"/>
      <c r="L924" s="47"/>
      <c r="M924" s="47"/>
      <c r="N924" s="47"/>
      <c r="O924" s="47"/>
      <c r="P924" s="47"/>
      <c r="Q924" s="47"/>
      <c r="R924" s="47"/>
      <c r="S924" s="49"/>
      <c r="T924" s="49"/>
      <c r="U924" s="47"/>
      <c r="V924" s="50"/>
      <c r="W924" s="47"/>
      <c r="X924" s="47"/>
      <c r="Y924" s="47"/>
      <c r="Z924" s="49"/>
      <c r="AA924" s="49"/>
      <c r="AB924" s="20"/>
    </row>
    <row r="925" spans="1:28" ht="15.75" customHeight="1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8"/>
      <c r="K925" s="47"/>
      <c r="L925" s="47"/>
      <c r="M925" s="47"/>
      <c r="N925" s="47"/>
      <c r="O925" s="47"/>
      <c r="P925" s="47"/>
      <c r="Q925" s="47"/>
      <c r="R925" s="47"/>
      <c r="S925" s="49"/>
      <c r="T925" s="49"/>
      <c r="U925" s="47"/>
      <c r="V925" s="50"/>
      <c r="W925" s="47"/>
      <c r="X925" s="47"/>
      <c r="Y925" s="47"/>
      <c r="Z925" s="49"/>
      <c r="AA925" s="49"/>
      <c r="AB925" s="20"/>
    </row>
    <row r="926" spans="1:28" ht="15.75" customHeight="1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8"/>
      <c r="K926" s="47"/>
      <c r="L926" s="47"/>
      <c r="M926" s="47"/>
      <c r="N926" s="47"/>
      <c r="O926" s="47"/>
      <c r="P926" s="47"/>
      <c r="Q926" s="47"/>
      <c r="R926" s="47"/>
      <c r="S926" s="49"/>
      <c r="T926" s="49"/>
      <c r="U926" s="47"/>
      <c r="V926" s="50"/>
      <c r="W926" s="47"/>
      <c r="X926" s="47"/>
      <c r="Y926" s="47"/>
      <c r="Z926" s="49"/>
      <c r="AA926" s="49"/>
      <c r="AB926" s="20"/>
    </row>
    <row r="927" spans="1:28" ht="15.75" customHeight="1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8"/>
      <c r="K927" s="47"/>
      <c r="L927" s="47"/>
      <c r="M927" s="47"/>
      <c r="N927" s="47"/>
      <c r="O927" s="47"/>
      <c r="P927" s="47"/>
      <c r="Q927" s="47"/>
      <c r="R927" s="47"/>
      <c r="S927" s="49"/>
      <c r="T927" s="49"/>
      <c r="U927" s="47"/>
      <c r="V927" s="50"/>
      <c r="W927" s="47"/>
      <c r="X927" s="47"/>
      <c r="Y927" s="47"/>
      <c r="Z927" s="49"/>
      <c r="AA927" s="49"/>
      <c r="AB927" s="20"/>
    </row>
    <row r="928" spans="1:28" ht="15.75" customHeight="1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8"/>
      <c r="K928" s="47"/>
      <c r="L928" s="47"/>
      <c r="M928" s="47"/>
      <c r="N928" s="47"/>
      <c r="O928" s="47"/>
      <c r="P928" s="47"/>
      <c r="Q928" s="47"/>
      <c r="R928" s="47"/>
      <c r="S928" s="49"/>
      <c r="T928" s="49"/>
      <c r="U928" s="47"/>
      <c r="V928" s="50"/>
      <c r="W928" s="47"/>
      <c r="X928" s="47"/>
      <c r="Y928" s="47"/>
      <c r="Z928" s="49"/>
      <c r="AA928" s="49"/>
      <c r="AB928" s="20"/>
    </row>
    <row r="929" spans="1:28" ht="15.75" customHeight="1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8"/>
      <c r="K929" s="47"/>
      <c r="L929" s="47"/>
      <c r="M929" s="47"/>
      <c r="N929" s="47"/>
      <c r="O929" s="47"/>
      <c r="P929" s="47"/>
      <c r="Q929" s="47"/>
      <c r="R929" s="47"/>
      <c r="S929" s="49"/>
      <c r="T929" s="49"/>
      <c r="U929" s="47"/>
      <c r="V929" s="50"/>
      <c r="W929" s="47"/>
      <c r="X929" s="47"/>
      <c r="Y929" s="47"/>
      <c r="Z929" s="49"/>
      <c r="AA929" s="49"/>
      <c r="AB929" s="20"/>
    </row>
    <row r="930" spans="1:28" ht="15.75" customHeight="1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8"/>
      <c r="K930" s="47"/>
      <c r="L930" s="47"/>
      <c r="M930" s="47"/>
      <c r="N930" s="47"/>
      <c r="O930" s="47"/>
      <c r="P930" s="47"/>
      <c r="Q930" s="47"/>
      <c r="R930" s="47"/>
      <c r="S930" s="49"/>
      <c r="T930" s="49"/>
      <c r="U930" s="47"/>
      <c r="V930" s="50"/>
      <c r="W930" s="47"/>
      <c r="X930" s="47"/>
      <c r="Y930" s="47"/>
      <c r="Z930" s="49"/>
      <c r="AA930" s="49"/>
      <c r="AB930" s="20"/>
    </row>
    <row r="931" spans="1:28" ht="15.75" customHeight="1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8"/>
      <c r="K931" s="47"/>
      <c r="L931" s="47"/>
      <c r="M931" s="47"/>
      <c r="N931" s="47"/>
      <c r="O931" s="47"/>
      <c r="P931" s="47"/>
      <c r="Q931" s="47"/>
      <c r="R931" s="47"/>
      <c r="S931" s="49"/>
      <c r="T931" s="49"/>
      <c r="U931" s="47"/>
      <c r="V931" s="50"/>
      <c r="W931" s="47"/>
      <c r="X931" s="47"/>
      <c r="Y931" s="47"/>
      <c r="Z931" s="49"/>
      <c r="AA931" s="49"/>
      <c r="AB931" s="20"/>
    </row>
    <row r="932" spans="1:28" ht="15.75" customHeight="1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8"/>
      <c r="K932" s="47"/>
      <c r="L932" s="47"/>
      <c r="M932" s="47"/>
      <c r="N932" s="47"/>
      <c r="O932" s="47"/>
      <c r="P932" s="47"/>
      <c r="Q932" s="47"/>
      <c r="R932" s="47"/>
      <c r="S932" s="49"/>
      <c r="T932" s="49"/>
      <c r="U932" s="47"/>
      <c r="V932" s="50"/>
      <c r="W932" s="47"/>
      <c r="X932" s="47"/>
      <c r="Y932" s="47"/>
      <c r="Z932" s="49"/>
      <c r="AA932" s="49"/>
      <c r="AB932" s="20"/>
    </row>
    <row r="933" spans="1:28" ht="15.75" customHeight="1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8"/>
      <c r="K933" s="47"/>
      <c r="L933" s="47"/>
      <c r="M933" s="47"/>
      <c r="N933" s="47"/>
      <c r="O933" s="47"/>
      <c r="P933" s="47"/>
      <c r="Q933" s="47"/>
      <c r="R933" s="47"/>
      <c r="S933" s="49"/>
      <c r="T933" s="49"/>
      <c r="U933" s="47"/>
      <c r="V933" s="50"/>
      <c r="W933" s="47"/>
      <c r="X933" s="47"/>
      <c r="Y933" s="47"/>
      <c r="Z933" s="49"/>
      <c r="AA933" s="49"/>
      <c r="AB933" s="20"/>
    </row>
    <row r="934" spans="1:28" ht="15.75" customHeight="1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8"/>
      <c r="K934" s="47"/>
      <c r="L934" s="47"/>
      <c r="M934" s="47"/>
      <c r="N934" s="47"/>
      <c r="O934" s="47"/>
      <c r="P934" s="47"/>
      <c r="Q934" s="47"/>
      <c r="R934" s="47"/>
      <c r="S934" s="49"/>
      <c r="T934" s="49"/>
      <c r="U934" s="47"/>
      <c r="V934" s="50"/>
      <c r="W934" s="47"/>
      <c r="X934" s="47"/>
      <c r="Y934" s="47"/>
      <c r="Z934" s="49"/>
      <c r="AA934" s="49"/>
      <c r="AB934" s="20"/>
    </row>
    <row r="935" spans="1:28" ht="15.75" customHeight="1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8"/>
      <c r="K935" s="47"/>
      <c r="L935" s="47"/>
      <c r="M935" s="47"/>
      <c r="N935" s="47"/>
      <c r="O935" s="47"/>
      <c r="P935" s="47"/>
      <c r="Q935" s="47"/>
      <c r="R935" s="47"/>
      <c r="S935" s="49"/>
      <c r="T935" s="49"/>
      <c r="U935" s="47"/>
      <c r="V935" s="50"/>
      <c r="W935" s="47"/>
      <c r="X935" s="47"/>
      <c r="Y935" s="47"/>
      <c r="Z935" s="49"/>
      <c r="AA935" s="49"/>
      <c r="AB935" s="20"/>
    </row>
    <row r="936" spans="1:28" ht="15.75" customHeight="1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8"/>
      <c r="K936" s="47"/>
      <c r="L936" s="47"/>
      <c r="M936" s="47"/>
      <c r="N936" s="47"/>
      <c r="O936" s="47"/>
      <c r="P936" s="47"/>
      <c r="Q936" s="47"/>
      <c r="R936" s="47"/>
      <c r="S936" s="49"/>
      <c r="T936" s="49"/>
      <c r="U936" s="47"/>
      <c r="V936" s="50"/>
      <c r="W936" s="47"/>
      <c r="X936" s="47"/>
      <c r="Y936" s="47"/>
      <c r="Z936" s="49"/>
      <c r="AA936" s="49"/>
      <c r="AB936" s="20"/>
    </row>
    <row r="937" spans="1:28" ht="15.75" customHeight="1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8"/>
      <c r="K937" s="47"/>
      <c r="L937" s="47"/>
      <c r="M937" s="47"/>
      <c r="N937" s="47"/>
      <c r="O937" s="47"/>
      <c r="P937" s="47"/>
      <c r="Q937" s="47"/>
      <c r="R937" s="47"/>
      <c r="S937" s="49"/>
      <c r="T937" s="49"/>
      <c r="U937" s="47"/>
      <c r="V937" s="50"/>
      <c r="W937" s="47"/>
      <c r="X937" s="47"/>
      <c r="Y937" s="47"/>
      <c r="Z937" s="49"/>
      <c r="AA937" s="49"/>
      <c r="AB937" s="20"/>
    </row>
    <row r="938" spans="1:28" ht="15.75" customHeight="1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8"/>
      <c r="K938" s="47"/>
      <c r="L938" s="47"/>
      <c r="M938" s="47"/>
      <c r="N938" s="47"/>
      <c r="O938" s="47"/>
      <c r="P938" s="47"/>
      <c r="Q938" s="47"/>
      <c r="R938" s="47"/>
      <c r="S938" s="49"/>
      <c r="T938" s="49"/>
      <c r="U938" s="47"/>
      <c r="V938" s="50"/>
      <c r="W938" s="47"/>
      <c r="X938" s="47"/>
      <c r="Y938" s="47"/>
      <c r="Z938" s="49"/>
      <c r="AA938" s="49"/>
      <c r="AB938" s="20"/>
    </row>
    <row r="939" spans="1:28" ht="15.75" customHeight="1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8"/>
      <c r="K939" s="47"/>
      <c r="L939" s="47"/>
      <c r="M939" s="47"/>
      <c r="N939" s="47"/>
      <c r="O939" s="47"/>
      <c r="P939" s="47"/>
      <c r="Q939" s="47"/>
      <c r="R939" s="47"/>
      <c r="S939" s="49"/>
      <c r="T939" s="49"/>
      <c r="U939" s="47"/>
      <c r="V939" s="50"/>
      <c r="W939" s="47"/>
      <c r="X939" s="47"/>
      <c r="Y939" s="47"/>
      <c r="Z939" s="49"/>
      <c r="AA939" s="49"/>
      <c r="AB939" s="20"/>
    </row>
    <row r="940" spans="1:28" ht="15.75" customHeight="1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8"/>
      <c r="K940" s="47"/>
      <c r="L940" s="47"/>
      <c r="M940" s="47"/>
      <c r="N940" s="47"/>
      <c r="O940" s="47"/>
      <c r="P940" s="47"/>
      <c r="Q940" s="47"/>
      <c r="R940" s="47"/>
      <c r="S940" s="49"/>
      <c r="T940" s="49"/>
      <c r="U940" s="47"/>
      <c r="V940" s="50"/>
      <c r="W940" s="47"/>
      <c r="X940" s="47"/>
      <c r="Y940" s="47"/>
      <c r="Z940" s="49"/>
      <c r="AA940" s="49"/>
      <c r="AB940" s="20"/>
    </row>
    <row r="941" spans="1:28" ht="15.75" customHeight="1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8"/>
      <c r="K941" s="47"/>
      <c r="L941" s="47"/>
      <c r="M941" s="47"/>
      <c r="N941" s="47"/>
      <c r="O941" s="47"/>
      <c r="P941" s="47"/>
      <c r="Q941" s="47"/>
      <c r="R941" s="47"/>
      <c r="S941" s="49"/>
      <c r="T941" s="49"/>
      <c r="U941" s="47"/>
      <c r="V941" s="50"/>
      <c r="W941" s="47"/>
      <c r="X941" s="47"/>
      <c r="Y941" s="47"/>
      <c r="Z941" s="49"/>
      <c r="AA941" s="49"/>
      <c r="AB941" s="20"/>
    </row>
    <row r="942" spans="1:28" ht="15.75" customHeight="1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8"/>
      <c r="K942" s="47"/>
      <c r="L942" s="47"/>
      <c r="M942" s="47"/>
      <c r="N942" s="47"/>
      <c r="O942" s="47"/>
      <c r="P942" s="47"/>
      <c r="Q942" s="47"/>
      <c r="R942" s="47"/>
      <c r="S942" s="49"/>
      <c r="T942" s="49"/>
      <c r="U942" s="47"/>
      <c r="V942" s="50"/>
      <c r="W942" s="47"/>
      <c r="X942" s="47"/>
      <c r="Y942" s="47"/>
      <c r="Z942" s="49"/>
      <c r="AA942" s="49"/>
      <c r="AB942" s="20"/>
    </row>
    <row r="943" spans="1:28" ht="15.75" customHeight="1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8"/>
      <c r="K943" s="47"/>
      <c r="L943" s="47"/>
      <c r="M943" s="47"/>
      <c r="N943" s="47"/>
      <c r="O943" s="47"/>
      <c r="P943" s="47"/>
      <c r="Q943" s="47"/>
      <c r="R943" s="47"/>
      <c r="S943" s="49"/>
      <c r="T943" s="49"/>
      <c r="U943" s="47"/>
      <c r="V943" s="50"/>
      <c r="W943" s="47"/>
      <c r="X943" s="47"/>
      <c r="Y943" s="47"/>
      <c r="Z943" s="49"/>
      <c r="AA943" s="49"/>
      <c r="AB943" s="20"/>
    </row>
    <row r="944" spans="1:28" ht="15.75" customHeight="1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8"/>
      <c r="K944" s="47"/>
      <c r="L944" s="47"/>
      <c r="M944" s="47"/>
      <c r="N944" s="47"/>
      <c r="O944" s="47"/>
      <c r="P944" s="47"/>
      <c r="Q944" s="47"/>
      <c r="R944" s="47"/>
      <c r="S944" s="49"/>
      <c r="T944" s="49"/>
      <c r="U944" s="47"/>
      <c r="V944" s="50"/>
      <c r="W944" s="47"/>
      <c r="X944" s="47"/>
      <c r="Y944" s="47"/>
      <c r="Z944" s="49"/>
      <c r="AA944" s="49"/>
      <c r="AB944" s="20"/>
    </row>
    <row r="945" spans="1:28" ht="15.75" customHeight="1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8"/>
      <c r="K945" s="47"/>
      <c r="L945" s="47"/>
      <c r="M945" s="47"/>
      <c r="N945" s="47"/>
      <c r="O945" s="47"/>
      <c r="P945" s="47"/>
      <c r="Q945" s="47"/>
      <c r="R945" s="47"/>
      <c r="S945" s="49"/>
      <c r="T945" s="49"/>
      <c r="U945" s="47"/>
      <c r="V945" s="50"/>
      <c r="W945" s="47"/>
      <c r="X945" s="47"/>
      <c r="Y945" s="47"/>
      <c r="Z945" s="49"/>
      <c r="AA945" s="49"/>
      <c r="AB945" s="20"/>
    </row>
    <row r="946" spans="1:28" ht="15.75" customHeight="1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8"/>
      <c r="K946" s="47"/>
      <c r="L946" s="47"/>
      <c r="M946" s="47"/>
      <c r="N946" s="47"/>
      <c r="O946" s="47"/>
      <c r="P946" s="47"/>
      <c r="Q946" s="47"/>
      <c r="R946" s="47"/>
      <c r="S946" s="49"/>
      <c r="T946" s="49"/>
      <c r="U946" s="47"/>
      <c r="V946" s="50"/>
      <c r="W946" s="47"/>
      <c r="X946" s="47"/>
      <c r="Y946" s="47"/>
      <c r="Z946" s="49"/>
      <c r="AA946" s="49"/>
      <c r="AB946" s="20"/>
    </row>
    <row r="947" spans="1:28" ht="15.75" customHeight="1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8"/>
      <c r="K947" s="47"/>
      <c r="L947" s="47"/>
      <c r="M947" s="47"/>
      <c r="N947" s="47"/>
      <c r="O947" s="47"/>
      <c r="P947" s="47"/>
      <c r="Q947" s="47"/>
      <c r="R947" s="47"/>
      <c r="S947" s="49"/>
      <c r="T947" s="49"/>
      <c r="U947" s="47"/>
      <c r="V947" s="50"/>
      <c r="W947" s="47"/>
      <c r="X947" s="47"/>
      <c r="Y947" s="47"/>
      <c r="Z947" s="49"/>
      <c r="AA947" s="49"/>
      <c r="AB947" s="20"/>
    </row>
    <row r="948" spans="1:28" ht="15.75" customHeight="1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8"/>
      <c r="K948" s="47"/>
      <c r="L948" s="47"/>
      <c r="M948" s="47"/>
      <c r="N948" s="47"/>
      <c r="O948" s="47"/>
      <c r="P948" s="47"/>
      <c r="Q948" s="47"/>
      <c r="R948" s="47"/>
      <c r="S948" s="49"/>
      <c r="T948" s="49"/>
      <c r="U948" s="47"/>
      <c r="V948" s="50"/>
      <c r="W948" s="47"/>
      <c r="X948" s="47"/>
      <c r="Y948" s="47"/>
      <c r="Z948" s="49"/>
      <c r="AA948" s="49"/>
      <c r="AB948" s="20"/>
    </row>
    <row r="949" spans="1:28" ht="15.75" customHeight="1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8"/>
      <c r="K949" s="47"/>
      <c r="L949" s="47"/>
      <c r="M949" s="47"/>
      <c r="N949" s="47"/>
      <c r="O949" s="47"/>
      <c r="P949" s="47"/>
      <c r="Q949" s="47"/>
      <c r="R949" s="47"/>
      <c r="S949" s="49"/>
      <c r="T949" s="49"/>
      <c r="U949" s="47"/>
      <c r="V949" s="50"/>
      <c r="W949" s="47"/>
      <c r="X949" s="47"/>
      <c r="Y949" s="47"/>
      <c r="Z949" s="49"/>
      <c r="AA949" s="49"/>
      <c r="AB949" s="20"/>
    </row>
    <row r="950" spans="1:28" ht="15.75" customHeight="1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8"/>
      <c r="K950" s="47"/>
      <c r="L950" s="47"/>
      <c r="M950" s="47"/>
      <c r="N950" s="47"/>
      <c r="O950" s="47"/>
      <c r="P950" s="47"/>
      <c r="Q950" s="47"/>
      <c r="R950" s="47"/>
      <c r="S950" s="49"/>
      <c r="T950" s="49"/>
      <c r="U950" s="47"/>
      <c r="V950" s="50"/>
      <c r="W950" s="47"/>
      <c r="X950" s="47"/>
      <c r="Y950" s="47"/>
      <c r="Z950" s="49"/>
      <c r="AA950" s="49"/>
      <c r="AB950" s="20"/>
    </row>
    <row r="951" spans="1:28" ht="15.75" customHeight="1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8"/>
      <c r="K951" s="47"/>
      <c r="L951" s="47"/>
      <c r="M951" s="47"/>
      <c r="N951" s="47"/>
      <c r="O951" s="47"/>
      <c r="P951" s="47"/>
      <c r="Q951" s="47"/>
      <c r="R951" s="47"/>
      <c r="S951" s="49"/>
      <c r="T951" s="49"/>
      <c r="U951" s="47"/>
      <c r="V951" s="50"/>
      <c r="W951" s="47"/>
      <c r="X951" s="47"/>
      <c r="Y951" s="47"/>
      <c r="Z951" s="49"/>
      <c r="AA951" s="49"/>
      <c r="AB951" s="20"/>
    </row>
    <row r="952" spans="1:28" ht="15.75" customHeight="1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8"/>
      <c r="K952" s="47"/>
      <c r="L952" s="47"/>
      <c r="M952" s="47"/>
      <c r="N952" s="47"/>
      <c r="O952" s="47"/>
      <c r="P952" s="47"/>
      <c r="Q952" s="47"/>
      <c r="R952" s="47"/>
      <c r="S952" s="49"/>
      <c r="T952" s="49"/>
      <c r="U952" s="47"/>
      <c r="V952" s="50"/>
      <c r="W952" s="47"/>
      <c r="X952" s="47"/>
      <c r="Y952" s="47"/>
      <c r="Z952" s="49"/>
      <c r="AA952" s="49"/>
      <c r="AB952" s="20"/>
    </row>
    <row r="953" spans="1:28" ht="15.75" customHeight="1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8"/>
      <c r="K953" s="47"/>
      <c r="L953" s="47"/>
      <c r="M953" s="47"/>
      <c r="N953" s="47"/>
      <c r="O953" s="47"/>
      <c r="P953" s="47"/>
      <c r="Q953" s="47"/>
      <c r="R953" s="47"/>
      <c r="S953" s="49"/>
      <c r="T953" s="49"/>
      <c r="U953" s="47"/>
      <c r="V953" s="50"/>
      <c r="W953" s="47"/>
      <c r="X953" s="47"/>
      <c r="Y953" s="47"/>
      <c r="Z953" s="49"/>
      <c r="AA953" s="49"/>
      <c r="AB953" s="20"/>
    </row>
    <row r="954" spans="1:28" ht="15.75" customHeight="1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8"/>
      <c r="K954" s="47"/>
      <c r="L954" s="47"/>
      <c r="M954" s="47"/>
      <c r="N954" s="47"/>
      <c r="O954" s="47"/>
      <c r="P954" s="47"/>
      <c r="Q954" s="47"/>
      <c r="R954" s="47"/>
      <c r="S954" s="49"/>
      <c r="T954" s="49"/>
      <c r="U954" s="47"/>
      <c r="V954" s="50"/>
      <c r="W954" s="47"/>
      <c r="X954" s="47"/>
      <c r="Y954" s="47"/>
      <c r="Z954" s="49"/>
      <c r="AA954" s="49"/>
      <c r="AB954" s="20"/>
    </row>
    <row r="955" spans="1:28" ht="15.75" customHeight="1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8"/>
      <c r="K955" s="47"/>
      <c r="L955" s="47"/>
      <c r="M955" s="47"/>
      <c r="N955" s="47"/>
      <c r="O955" s="47"/>
      <c r="P955" s="47"/>
      <c r="Q955" s="47"/>
      <c r="R955" s="47"/>
      <c r="S955" s="49"/>
      <c r="T955" s="49"/>
      <c r="U955" s="47"/>
      <c r="V955" s="50"/>
      <c r="W955" s="47"/>
      <c r="X955" s="47"/>
      <c r="Y955" s="47"/>
      <c r="Z955" s="49"/>
      <c r="AA955" s="49"/>
      <c r="AB955" s="20"/>
    </row>
    <row r="956" spans="1:28" ht="15.75" customHeight="1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8"/>
      <c r="K956" s="47"/>
      <c r="L956" s="47"/>
      <c r="M956" s="47"/>
      <c r="N956" s="47"/>
      <c r="O956" s="47"/>
      <c r="P956" s="47"/>
      <c r="Q956" s="47"/>
      <c r="R956" s="47"/>
      <c r="S956" s="49"/>
      <c r="T956" s="49"/>
      <c r="U956" s="47"/>
      <c r="V956" s="50"/>
      <c r="W956" s="47"/>
      <c r="X956" s="47"/>
      <c r="Y956" s="47"/>
      <c r="Z956" s="49"/>
      <c r="AA956" s="49"/>
      <c r="AB956" s="20"/>
    </row>
    <row r="957" spans="1:28" ht="15.75" customHeight="1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8"/>
      <c r="K957" s="47"/>
      <c r="L957" s="47"/>
      <c r="M957" s="47"/>
      <c r="N957" s="47"/>
      <c r="O957" s="47"/>
      <c r="P957" s="47"/>
      <c r="Q957" s="47"/>
      <c r="R957" s="47"/>
      <c r="S957" s="49"/>
      <c r="T957" s="49"/>
      <c r="U957" s="47"/>
      <c r="V957" s="50"/>
      <c r="W957" s="47"/>
      <c r="X957" s="47"/>
      <c r="Y957" s="47"/>
      <c r="Z957" s="49"/>
      <c r="AA957" s="49"/>
      <c r="AB957" s="20"/>
    </row>
    <row r="958" spans="1:28" ht="15.75" customHeight="1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8"/>
      <c r="K958" s="47"/>
      <c r="L958" s="47"/>
      <c r="M958" s="47"/>
      <c r="N958" s="47"/>
      <c r="O958" s="47"/>
      <c r="P958" s="47"/>
      <c r="Q958" s="47"/>
      <c r="R958" s="47"/>
      <c r="S958" s="49"/>
      <c r="T958" s="49"/>
      <c r="U958" s="47"/>
      <c r="V958" s="50"/>
      <c r="W958" s="47"/>
      <c r="X958" s="47"/>
      <c r="Y958" s="47"/>
      <c r="Z958" s="49"/>
      <c r="AA958" s="49"/>
      <c r="AB958" s="20"/>
    </row>
    <row r="959" spans="1:28" ht="15.75" customHeight="1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8"/>
      <c r="K959" s="47"/>
      <c r="L959" s="47"/>
      <c r="M959" s="47"/>
      <c r="N959" s="47"/>
      <c r="O959" s="47"/>
      <c r="P959" s="47"/>
      <c r="Q959" s="47"/>
      <c r="R959" s="47"/>
      <c r="S959" s="49"/>
      <c r="T959" s="49"/>
      <c r="U959" s="47"/>
      <c r="V959" s="50"/>
      <c r="W959" s="47"/>
      <c r="X959" s="47"/>
      <c r="Y959" s="47"/>
      <c r="Z959" s="49"/>
      <c r="AA959" s="49"/>
      <c r="AB959" s="20"/>
    </row>
    <row r="960" spans="1:28" ht="15.75" customHeight="1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8"/>
      <c r="K960" s="47"/>
      <c r="L960" s="47"/>
      <c r="M960" s="47"/>
      <c r="N960" s="47"/>
      <c r="O960" s="47"/>
      <c r="P960" s="47"/>
      <c r="Q960" s="47"/>
      <c r="R960" s="47"/>
      <c r="S960" s="49"/>
      <c r="T960" s="49"/>
      <c r="U960" s="47"/>
      <c r="V960" s="50"/>
      <c r="W960" s="47"/>
      <c r="X960" s="47"/>
      <c r="Y960" s="47"/>
      <c r="Z960" s="49"/>
      <c r="AA960" s="49"/>
      <c r="AB960" s="20"/>
    </row>
    <row r="961" spans="1:28" ht="15.75" customHeight="1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8"/>
      <c r="K961" s="47"/>
      <c r="L961" s="47"/>
      <c r="M961" s="47"/>
      <c r="N961" s="47"/>
      <c r="O961" s="47"/>
      <c r="P961" s="47"/>
      <c r="Q961" s="47"/>
      <c r="R961" s="47"/>
      <c r="S961" s="49"/>
      <c r="T961" s="49"/>
      <c r="U961" s="47"/>
      <c r="V961" s="50"/>
      <c r="W961" s="47"/>
      <c r="X961" s="47"/>
      <c r="Y961" s="47"/>
      <c r="Z961" s="49"/>
      <c r="AA961" s="49"/>
      <c r="AB961" s="20"/>
    </row>
    <row r="962" spans="1:28" ht="15.75" customHeight="1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8"/>
      <c r="K962" s="47"/>
      <c r="L962" s="47"/>
      <c r="M962" s="47"/>
      <c r="N962" s="47"/>
      <c r="O962" s="47"/>
      <c r="P962" s="47"/>
      <c r="Q962" s="47"/>
      <c r="R962" s="47"/>
      <c r="S962" s="49"/>
      <c r="T962" s="49"/>
      <c r="U962" s="47"/>
      <c r="V962" s="50"/>
      <c r="W962" s="47"/>
      <c r="X962" s="47"/>
      <c r="Y962" s="47"/>
      <c r="Z962" s="49"/>
      <c r="AA962" s="49"/>
      <c r="AB962" s="20"/>
    </row>
    <row r="963" spans="1:28" ht="15.75" customHeight="1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8"/>
      <c r="K963" s="47"/>
      <c r="L963" s="47"/>
      <c r="M963" s="47"/>
      <c r="N963" s="47"/>
      <c r="O963" s="47"/>
      <c r="P963" s="47"/>
      <c r="Q963" s="47"/>
      <c r="R963" s="47"/>
      <c r="S963" s="49"/>
      <c r="T963" s="49"/>
      <c r="U963" s="47"/>
      <c r="V963" s="50"/>
      <c r="W963" s="47"/>
      <c r="X963" s="47"/>
      <c r="Y963" s="47"/>
      <c r="Z963" s="49"/>
      <c r="AA963" s="49"/>
      <c r="AB963" s="20"/>
    </row>
    <row r="964" spans="1:28" ht="15.75" customHeight="1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8"/>
      <c r="K964" s="47"/>
      <c r="L964" s="47"/>
      <c r="M964" s="47"/>
      <c r="N964" s="47"/>
      <c r="O964" s="47"/>
      <c r="P964" s="47"/>
      <c r="Q964" s="47"/>
      <c r="R964" s="47"/>
      <c r="S964" s="49"/>
      <c r="T964" s="49"/>
      <c r="U964" s="47"/>
      <c r="V964" s="50"/>
      <c r="W964" s="47"/>
      <c r="X964" s="47"/>
      <c r="Y964" s="47"/>
      <c r="Z964" s="49"/>
      <c r="AA964" s="49"/>
      <c r="AB964" s="20"/>
    </row>
    <row r="965" spans="1:28" ht="15.75" customHeight="1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8"/>
      <c r="K965" s="47"/>
      <c r="L965" s="47"/>
      <c r="M965" s="47"/>
      <c r="N965" s="47"/>
      <c r="O965" s="47"/>
      <c r="P965" s="47"/>
      <c r="Q965" s="47"/>
      <c r="R965" s="47"/>
      <c r="S965" s="49"/>
      <c r="T965" s="49"/>
      <c r="U965" s="47"/>
      <c r="V965" s="50"/>
      <c r="W965" s="47"/>
      <c r="X965" s="47"/>
      <c r="Y965" s="47"/>
      <c r="Z965" s="49"/>
      <c r="AA965" s="49"/>
      <c r="AB965" s="20"/>
    </row>
    <row r="966" spans="1:28" ht="15.75" customHeight="1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8"/>
      <c r="K966" s="47"/>
      <c r="L966" s="47"/>
      <c r="M966" s="47"/>
      <c r="N966" s="47"/>
      <c r="O966" s="47"/>
      <c r="P966" s="47"/>
      <c r="Q966" s="47"/>
      <c r="R966" s="47"/>
      <c r="S966" s="49"/>
      <c r="T966" s="49"/>
      <c r="U966" s="47"/>
      <c r="V966" s="50"/>
      <c r="W966" s="47"/>
      <c r="X966" s="47"/>
      <c r="Y966" s="47"/>
      <c r="Z966" s="49"/>
      <c r="AA966" s="49"/>
      <c r="AB966" s="20"/>
    </row>
    <row r="967" spans="1:28" ht="15.75" customHeight="1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8"/>
      <c r="K967" s="47"/>
      <c r="L967" s="47"/>
      <c r="M967" s="47"/>
      <c r="N967" s="47"/>
      <c r="O967" s="47"/>
      <c r="P967" s="47"/>
      <c r="Q967" s="47"/>
      <c r="R967" s="47"/>
      <c r="S967" s="49"/>
      <c r="T967" s="49"/>
      <c r="U967" s="47"/>
      <c r="V967" s="50"/>
      <c r="W967" s="47"/>
      <c r="X967" s="47"/>
      <c r="Y967" s="47"/>
      <c r="Z967" s="49"/>
      <c r="AA967" s="49"/>
      <c r="AB967" s="20"/>
    </row>
    <row r="968" spans="1:28" ht="15.75" customHeight="1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8"/>
      <c r="K968" s="47"/>
      <c r="L968" s="47"/>
      <c r="M968" s="47"/>
      <c r="N968" s="47"/>
      <c r="O968" s="47"/>
      <c r="P968" s="47"/>
      <c r="Q968" s="47"/>
      <c r="R968" s="47"/>
      <c r="S968" s="49"/>
      <c r="T968" s="49"/>
      <c r="U968" s="47"/>
      <c r="V968" s="50"/>
      <c r="W968" s="47"/>
      <c r="X968" s="47"/>
      <c r="Y968" s="47"/>
      <c r="Z968" s="49"/>
      <c r="AA968" s="49"/>
      <c r="AB968" s="20"/>
    </row>
    <row r="969" spans="1:28" ht="15.75" customHeight="1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8"/>
      <c r="K969" s="47"/>
      <c r="L969" s="47"/>
      <c r="M969" s="47"/>
      <c r="N969" s="47"/>
      <c r="O969" s="47"/>
      <c r="P969" s="47"/>
      <c r="Q969" s="47"/>
      <c r="R969" s="47"/>
      <c r="S969" s="49"/>
      <c r="T969" s="49"/>
      <c r="U969" s="47"/>
      <c r="V969" s="50"/>
      <c r="W969" s="47"/>
      <c r="X969" s="47"/>
      <c r="Y969" s="47"/>
      <c r="Z969" s="49"/>
      <c r="AA969" s="49"/>
      <c r="AB969" s="20"/>
    </row>
    <row r="970" spans="1:28" ht="15.75" customHeight="1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8"/>
      <c r="K970" s="47"/>
      <c r="L970" s="47"/>
      <c r="M970" s="47"/>
      <c r="N970" s="47"/>
      <c r="O970" s="47"/>
      <c r="P970" s="47"/>
      <c r="Q970" s="47"/>
      <c r="R970" s="47"/>
      <c r="S970" s="49"/>
      <c r="T970" s="49"/>
      <c r="U970" s="47"/>
      <c r="V970" s="50"/>
      <c r="W970" s="47"/>
      <c r="X970" s="47"/>
      <c r="Y970" s="47"/>
      <c r="Z970" s="49"/>
      <c r="AA970" s="49"/>
      <c r="AB970" s="20"/>
    </row>
    <row r="971" spans="1:28" ht="15.75" customHeight="1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8"/>
      <c r="K971" s="47"/>
      <c r="L971" s="47"/>
      <c r="M971" s="47"/>
      <c r="N971" s="47"/>
      <c r="O971" s="47"/>
      <c r="P971" s="47"/>
      <c r="Q971" s="47"/>
      <c r="R971" s="47"/>
      <c r="S971" s="49"/>
      <c r="T971" s="49"/>
      <c r="U971" s="47"/>
      <c r="V971" s="50"/>
      <c r="W971" s="47"/>
      <c r="X971" s="47"/>
      <c r="Y971" s="47"/>
      <c r="Z971" s="49"/>
      <c r="AA971" s="49"/>
      <c r="AB971" s="20"/>
    </row>
    <row r="972" spans="1:28" ht="15.75" customHeight="1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8"/>
      <c r="K972" s="47"/>
      <c r="L972" s="47"/>
      <c r="M972" s="47"/>
      <c r="N972" s="47"/>
      <c r="O972" s="47"/>
      <c r="P972" s="47"/>
      <c r="Q972" s="47"/>
      <c r="R972" s="47"/>
      <c r="S972" s="49"/>
      <c r="T972" s="49"/>
      <c r="U972" s="47"/>
      <c r="V972" s="50"/>
      <c r="W972" s="47"/>
      <c r="X972" s="47"/>
      <c r="Y972" s="47"/>
      <c r="Z972" s="49"/>
      <c r="AA972" s="49"/>
      <c r="AB972" s="20"/>
    </row>
    <row r="973" spans="1:28" ht="15.75" customHeight="1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8"/>
      <c r="K973" s="47"/>
      <c r="L973" s="47"/>
      <c r="M973" s="47"/>
      <c r="N973" s="47"/>
      <c r="O973" s="47"/>
      <c r="P973" s="47"/>
      <c r="Q973" s="47"/>
      <c r="R973" s="47"/>
      <c r="S973" s="49"/>
      <c r="T973" s="49"/>
      <c r="U973" s="47"/>
      <c r="V973" s="50"/>
      <c r="W973" s="47"/>
      <c r="X973" s="47"/>
      <c r="Y973" s="47"/>
      <c r="Z973" s="49"/>
      <c r="AA973" s="49"/>
      <c r="AB973" s="20"/>
    </row>
    <row r="974" spans="1:28" ht="15.75" customHeight="1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8"/>
      <c r="K974" s="47"/>
      <c r="L974" s="47"/>
      <c r="M974" s="47"/>
      <c r="N974" s="47"/>
      <c r="O974" s="47"/>
      <c r="P974" s="47"/>
      <c r="Q974" s="47"/>
      <c r="R974" s="47"/>
      <c r="S974" s="49"/>
      <c r="T974" s="49"/>
      <c r="U974" s="47"/>
      <c r="V974" s="50"/>
      <c r="W974" s="47"/>
      <c r="X974" s="47"/>
      <c r="Y974" s="47"/>
      <c r="Z974" s="49"/>
      <c r="AA974" s="49"/>
      <c r="AB974" s="20"/>
    </row>
    <row r="975" spans="1:28" ht="15.75" customHeight="1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8"/>
      <c r="K975" s="47"/>
      <c r="L975" s="47"/>
      <c r="M975" s="47"/>
      <c r="N975" s="47"/>
      <c r="O975" s="47"/>
      <c r="P975" s="47"/>
      <c r="Q975" s="47"/>
      <c r="R975" s="47"/>
      <c r="S975" s="49"/>
      <c r="T975" s="49"/>
      <c r="U975" s="47"/>
      <c r="V975" s="50"/>
      <c r="W975" s="47"/>
      <c r="X975" s="47"/>
      <c r="Y975" s="47"/>
      <c r="Z975" s="49"/>
      <c r="AA975" s="49"/>
      <c r="AB975" s="20"/>
    </row>
    <row r="976" spans="1:28" ht="15.75" customHeight="1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8"/>
      <c r="K976" s="47"/>
      <c r="L976" s="47"/>
      <c r="M976" s="47"/>
      <c r="N976" s="47"/>
      <c r="O976" s="47"/>
      <c r="P976" s="47"/>
      <c r="Q976" s="47"/>
      <c r="R976" s="47"/>
      <c r="S976" s="49"/>
      <c r="T976" s="49"/>
      <c r="U976" s="47"/>
      <c r="V976" s="50"/>
      <c r="W976" s="47"/>
      <c r="X976" s="47"/>
      <c r="Y976" s="47"/>
      <c r="Z976" s="49"/>
      <c r="AA976" s="49"/>
      <c r="AB976" s="20"/>
    </row>
    <row r="977" spans="1:28" ht="15.75" customHeight="1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8"/>
      <c r="K977" s="47"/>
      <c r="L977" s="47"/>
      <c r="M977" s="47"/>
      <c r="N977" s="47"/>
      <c r="O977" s="47"/>
      <c r="P977" s="47"/>
      <c r="Q977" s="47"/>
      <c r="R977" s="47"/>
      <c r="S977" s="49"/>
      <c r="T977" s="49"/>
      <c r="U977" s="47"/>
      <c r="V977" s="50"/>
      <c r="W977" s="47"/>
      <c r="X977" s="47"/>
      <c r="Y977" s="47"/>
      <c r="Z977" s="49"/>
      <c r="AA977" s="49"/>
      <c r="AB977" s="20"/>
    </row>
    <row r="978" spans="1:28" ht="15.75" customHeight="1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8"/>
      <c r="K978" s="47"/>
      <c r="L978" s="47"/>
      <c r="M978" s="47"/>
      <c r="N978" s="47"/>
      <c r="O978" s="47"/>
      <c r="P978" s="47"/>
      <c r="Q978" s="47"/>
      <c r="R978" s="47"/>
      <c r="S978" s="49"/>
      <c r="T978" s="49"/>
      <c r="U978" s="47"/>
      <c r="V978" s="50"/>
      <c r="W978" s="47"/>
      <c r="X978" s="47"/>
      <c r="Y978" s="47"/>
      <c r="Z978" s="49"/>
      <c r="AA978" s="49"/>
      <c r="AB978" s="20"/>
    </row>
    <row r="979" spans="1:28" ht="15.75" customHeight="1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8"/>
      <c r="K979" s="47"/>
      <c r="L979" s="47"/>
      <c r="M979" s="47"/>
      <c r="N979" s="47"/>
      <c r="O979" s="47"/>
      <c r="P979" s="47"/>
      <c r="Q979" s="47"/>
      <c r="R979" s="47"/>
      <c r="S979" s="49"/>
      <c r="T979" s="49"/>
      <c r="U979" s="47"/>
      <c r="V979" s="50"/>
      <c r="W979" s="47"/>
      <c r="X979" s="47"/>
      <c r="Y979" s="47"/>
      <c r="Z979" s="49"/>
      <c r="AA979" s="49"/>
      <c r="AB979" s="20"/>
    </row>
    <row r="980" spans="1:28" ht="15.75" customHeight="1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8"/>
      <c r="K980" s="47"/>
      <c r="L980" s="47"/>
      <c r="M980" s="47"/>
      <c r="N980" s="47"/>
      <c r="O980" s="47"/>
      <c r="P980" s="47"/>
      <c r="Q980" s="47"/>
      <c r="R980" s="47"/>
      <c r="S980" s="49"/>
      <c r="T980" s="49"/>
      <c r="U980" s="47"/>
      <c r="V980" s="50"/>
      <c r="W980" s="47"/>
      <c r="X980" s="47"/>
      <c r="Y980" s="47"/>
      <c r="Z980" s="49"/>
      <c r="AA980" s="49"/>
      <c r="AB980" s="20"/>
    </row>
    <row r="981" spans="1:28" ht="15.75" customHeight="1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8"/>
      <c r="K981" s="47"/>
      <c r="L981" s="47"/>
      <c r="M981" s="47"/>
      <c r="N981" s="47"/>
      <c r="O981" s="47"/>
      <c r="P981" s="47"/>
      <c r="Q981" s="47"/>
      <c r="R981" s="47"/>
      <c r="S981" s="49"/>
      <c r="T981" s="49"/>
      <c r="U981" s="47"/>
      <c r="V981" s="50"/>
      <c r="W981" s="47"/>
      <c r="X981" s="47"/>
      <c r="Y981" s="47"/>
      <c r="Z981" s="49"/>
      <c r="AA981" s="49"/>
      <c r="AB981" s="20"/>
    </row>
    <row r="982" spans="1:28" ht="15.75" customHeight="1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8"/>
      <c r="K982" s="47"/>
      <c r="L982" s="47"/>
      <c r="M982" s="47"/>
      <c r="N982" s="47"/>
      <c r="O982" s="47"/>
      <c r="P982" s="47"/>
      <c r="Q982" s="47"/>
      <c r="R982" s="47"/>
      <c r="S982" s="49"/>
      <c r="T982" s="49"/>
      <c r="U982" s="47"/>
      <c r="V982" s="50"/>
      <c r="W982" s="47"/>
      <c r="X982" s="47"/>
      <c r="Y982" s="47"/>
      <c r="Z982" s="49"/>
      <c r="AA982" s="49"/>
      <c r="AB982" s="20"/>
    </row>
    <row r="983" spans="1:28" ht="15.75" customHeight="1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8"/>
      <c r="K983" s="47"/>
      <c r="L983" s="47"/>
      <c r="M983" s="47"/>
      <c r="N983" s="47"/>
      <c r="O983" s="47"/>
      <c r="P983" s="47"/>
      <c r="Q983" s="47"/>
      <c r="R983" s="47"/>
      <c r="S983" s="49"/>
      <c r="T983" s="49"/>
      <c r="U983" s="47"/>
      <c r="V983" s="50"/>
      <c r="W983" s="47"/>
      <c r="X983" s="47"/>
      <c r="Y983" s="47"/>
      <c r="Z983" s="49"/>
      <c r="AA983" s="49"/>
      <c r="AB983" s="20"/>
    </row>
    <row r="984" spans="1:28" ht="15.75" customHeight="1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8"/>
      <c r="K984" s="47"/>
      <c r="L984" s="47"/>
      <c r="M984" s="47"/>
      <c r="N984" s="47"/>
      <c r="O984" s="47"/>
      <c r="P984" s="47"/>
      <c r="Q984" s="47"/>
      <c r="R984" s="47"/>
      <c r="S984" s="49"/>
      <c r="T984" s="49"/>
      <c r="U984" s="47"/>
      <c r="V984" s="50"/>
      <c r="W984" s="47"/>
      <c r="X984" s="47"/>
      <c r="Y984" s="47"/>
      <c r="Z984" s="49"/>
      <c r="AA984" s="49"/>
      <c r="AB984" s="20"/>
    </row>
    <row r="985" spans="1:28" ht="15.75" customHeight="1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8"/>
      <c r="K985" s="47"/>
      <c r="L985" s="47"/>
      <c r="M985" s="47"/>
      <c r="N985" s="47"/>
      <c r="O985" s="47"/>
      <c r="P985" s="47"/>
      <c r="Q985" s="47"/>
      <c r="R985" s="47"/>
      <c r="S985" s="49"/>
      <c r="T985" s="49"/>
      <c r="U985" s="47"/>
      <c r="V985" s="50"/>
      <c r="W985" s="47"/>
      <c r="X985" s="47"/>
      <c r="Y985" s="47"/>
      <c r="Z985" s="49"/>
      <c r="AA985" s="49"/>
      <c r="AB985" s="20"/>
    </row>
    <row r="986" spans="1:28" ht="15.75" customHeight="1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8"/>
      <c r="K986" s="47"/>
      <c r="L986" s="47"/>
      <c r="M986" s="47"/>
      <c r="N986" s="47"/>
      <c r="O986" s="47"/>
      <c r="P986" s="47"/>
      <c r="Q986" s="47"/>
      <c r="R986" s="47"/>
      <c r="S986" s="49"/>
      <c r="T986" s="49"/>
      <c r="U986" s="47"/>
      <c r="V986" s="50"/>
      <c r="W986" s="47"/>
      <c r="X986" s="47"/>
      <c r="Y986" s="47"/>
      <c r="Z986" s="49"/>
      <c r="AA986" s="49"/>
      <c r="AB986" s="20"/>
    </row>
    <row r="987" spans="1:28" ht="15.75" customHeight="1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8"/>
      <c r="K987" s="47"/>
      <c r="L987" s="47"/>
      <c r="M987" s="47"/>
      <c r="N987" s="47"/>
      <c r="O987" s="47"/>
      <c r="P987" s="47"/>
      <c r="Q987" s="47"/>
      <c r="R987" s="47"/>
      <c r="S987" s="49"/>
      <c r="T987" s="49"/>
      <c r="U987" s="47"/>
      <c r="V987" s="50"/>
      <c r="W987" s="47"/>
      <c r="X987" s="47"/>
      <c r="Y987" s="47"/>
      <c r="Z987" s="49"/>
      <c r="AA987" s="49"/>
      <c r="AB987" s="20"/>
    </row>
    <row r="988" spans="1:28" ht="15.75" customHeight="1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8"/>
      <c r="K988" s="47"/>
      <c r="L988" s="47"/>
      <c r="M988" s="47"/>
      <c r="N988" s="47"/>
      <c r="O988" s="47"/>
      <c r="P988" s="47"/>
      <c r="Q988" s="47"/>
      <c r="R988" s="47"/>
      <c r="S988" s="49"/>
      <c r="T988" s="49"/>
      <c r="U988" s="47"/>
      <c r="V988" s="50"/>
      <c r="W988" s="47"/>
      <c r="X988" s="47"/>
      <c r="Y988" s="47"/>
      <c r="Z988" s="49"/>
      <c r="AA988" s="49"/>
      <c r="AB988" s="20"/>
    </row>
    <row r="989" spans="1:28" ht="15.75" customHeight="1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8"/>
      <c r="K989" s="47"/>
      <c r="L989" s="47"/>
      <c r="M989" s="47"/>
      <c r="N989" s="47"/>
      <c r="O989" s="47"/>
      <c r="P989" s="47"/>
      <c r="Q989" s="47"/>
      <c r="R989" s="47"/>
      <c r="S989" s="49"/>
      <c r="T989" s="49"/>
      <c r="U989" s="47"/>
      <c r="V989" s="50"/>
      <c r="W989" s="47"/>
      <c r="X989" s="47"/>
      <c r="Y989" s="47"/>
      <c r="Z989" s="49"/>
      <c r="AA989" s="49"/>
      <c r="AB989" s="20"/>
    </row>
    <row r="990" spans="1:28" ht="15.75" customHeight="1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8"/>
      <c r="K990" s="47"/>
      <c r="L990" s="47"/>
      <c r="M990" s="47"/>
      <c r="N990" s="47"/>
      <c r="O990" s="47"/>
      <c r="P990" s="47"/>
      <c r="Q990" s="47"/>
      <c r="R990" s="47"/>
      <c r="S990" s="49"/>
      <c r="T990" s="49"/>
      <c r="U990" s="47"/>
      <c r="V990" s="50"/>
      <c r="W990" s="47"/>
      <c r="X990" s="47"/>
      <c r="Y990" s="47"/>
      <c r="Z990" s="49"/>
      <c r="AA990" s="49"/>
      <c r="AB990" s="20"/>
    </row>
    <row r="991" spans="1:28" ht="15.75" customHeight="1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8"/>
      <c r="K991" s="47"/>
      <c r="L991" s="47"/>
      <c r="M991" s="47"/>
      <c r="N991" s="47"/>
      <c r="O991" s="47"/>
      <c r="P991" s="47"/>
      <c r="Q991" s="47"/>
      <c r="R991" s="47"/>
      <c r="S991" s="49"/>
      <c r="T991" s="49"/>
      <c r="U991" s="47"/>
      <c r="V991" s="50"/>
      <c r="W991" s="47"/>
      <c r="X991" s="47"/>
      <c r="Y991" s="47"/>
      <c r="Z991" s="49"/>
      <c r="AA991" s="49"/>
      <c r="AB991" s="20"/>
    </row>
    <row r="992" spans="1:28" ht="15.75" customHeight="1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8"/>
      <c r="K992" s="47"/>
      <c r="L992" s="47"/>
      <c r="M992" s="47"/>
      <c r="N992" s="47"/>
      <c r="O992" s="47"/>
      <c r="P992" s="47"/>
      <c r="Q992" s="47"/>
      <c r="R992" s="47"/>
      <c r="S992" s="49"/>
      <c r="T992" s="49"/>
      <c r="U992" s="47"/>
      <c r="V992" s="50"/>
      <c r="W992" s="47"/>
      <c r="X992" s="47"/>
      <c r="Y992" s="47"/>
      <c r="Z992" s="49"/>
      <c r="AA992" s="49"/>
      <c r="AB992" s="20"/>
    </row>
    <row r="993" spans="1:28" ht="15.75" customHeight="1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8"/>
      <c r="K993" s="47"/>
      <c r="L993" s="47"/>
      <c r="M993" s="47"/>
      <c r="N993" s="47"/>
      <c r="O993" s="47"/>
      <c r="P993" s="47"/>
      <c r="Q993" s="47"/>
      <c r="R993" s="47"/>
      <c r="S993" s="49"/>
      <c r="T993" s="49"/>
      <c r="U993" s="47"/>
      <c r="V993" s="50"/>
      <c r="W993" s="47"/>
      <c r="X993" s="47"/>
      <c r="Y993" s="47"/>
      <c r="Z993" s="49"/>
      <c r="AA993" s="49"/>
      <c r="AB993" s="20"/>
    </row>
    <row r="994" spans="1:28" ht="15.75" customHeight="1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8"/>
      <c r="K994" s="47"/>
      <c r="L994" s="47"/>
      <c r="M994" s="47"/>
      <c r="N994" s="47"/>
      <c r="O994" s="47"/>
      <c r="P994" s="47"/>
      <c r="Q994" s="47"/>
      <c r="R994" s="47"/>
      <c r="S994" s="49"/>
      <c r="T994" s="49"/>
      <c r="U994" s="47"/>
      <c r="V994" s="50"/>
      <c r="W994" s="47"/>
      <c r="X994" s="47"/>
      <c r="Y994" s="47"/>
      <c r="Z994" s="49"/>
      <c r="AA994" s="49"/>
      <c r="AB994" s="20"/>
    </row>
    <row r="995" spans="1:28" ht="15.75" customHeight="1" x14ac:dyDescent="0.25">
      <c r="A995" s="47"/>
      <c r="B995" s="47"/>
      <c r="C995" s="47"/>
      <c r="D995" s="47"/>
      <c r="E995" s="47"/>
      <c r="F995" s="47"/>
      <c r="G995" s="47"/>
      <c r="H995" s="47"/>
      <c r="I995" s="47"/>
      <c r="J995" s="48"/>
      <c r="K995" s="47"/>
      <c r="L995" s="47"/>
      <c r="M995" s="47"/>
      <c r="N995" s="47"/>
      <c r="O995" s="47"/>
      <c r="P995" s="47"/>
      <c r="Q995" s="47"/>
      <c r="R995" s="47"/>
      <c r="S995" s="49"/>
      <c r="T995" s="49"/>
      <c r="U995" s="47"/>
      <c r="V995" s="50"/>
      <c r="W995" s="47"/>
      <c r="X995" s="47"/>
      <c r="Y995" s="47"/>
      <c r="Z995" s="49"/>
      <c r="AA995" s="49"/>
      <c r="AB995" s="20"/>
    </row>
    <row r="996" spans="1:28" ht="15.75" customHeight="1" x14ac:dyDescent="0.25">
      <c r="A996" s="47"/>
      <c r="B996" s="47"/>
      <c r="C996" s="47"/>
      <c r="D996" s="47"/>
      <c r="E996" s="47"/>
      <c r="F996" s="47"/>
      <c r="G996" s="47"/>
      <c r="H996" s="47"/>
      <c r="I996" s="47"/>
      <c r="J996" s="48"/>
      <c r="K996" s="47"/>
      <c r="L996" s="47"/>
      <c r="M996" s="47"/>
      <c r="N996" s="47"/>
      <c r="O996" s="47"/>
      <c r="P996" s="47"/>
      <c r="Q996" s="47"/>
      <c r="R996" s="47"/>
      <c r="S996" s="49"/>
      <c r="T996" s="49"/>
      <c r="U996" s="47"/>
      <c r="V996" s="50"/>
      <c r="W996" s="47"/>
      <c r="X996" s="47"/>
      <c r="Y996" s="47"/>
      <c r="Z996" s="49"/>
      <c r="AA996" s="49"/>
      <c r="AB996" s="20"/>
    </row>
    <row r="997" spans="1:28" ht="15.75" customHeight="1" x14ac:dyDescent="0.25">
      <c r="A997" s="47"/>
      <c r="B997" s="47"/>
      <c r="C997" s="47"/>
      <c r="D997" s="47"/>
      <c r="E997" s="47"/>
      <c r="F997" s="47"/>
      <c r="G997" s="47"/>
      <c r="H997" s="47"/>
      <c r="I997" s="47"/>
      <c r="J997" s="48"/>
      <c r="K997" s="47"/>
      <c r="L997" s="47"/>
      <c r="M997" s="47"/>
      <c r="N997" s="47"/>
      <c r="O997" s="47"/>
      <c r="P997" s="47"/>
      <c r="Q997" s="47"/>
      <c r="R997" s="47"/>
      <c r="S997" s="49"/>
      <c r="T997" s="49"/>
      <c r="U997" s="47"/>
      <c r="V997" s="50"/>
      <c r="W997" s="47"/>
      <c r="X997" s="47"/>
      <c r="Y997" s="47"/>
      <c r="Z997" s="49"/>
      <c r="AA997" s="49"/>
      <c r="AB997" s="20"/>
    </row>
    <row r="998" spans="1:28" ht="15.75" customHeight="1" x14ac:dyDescent="0.25">
      <c r="A998" s="47"/>
      <c r="B998" s="47"/>
      <c r="C998" s="47"/>
      <c r="D998" s="47"/>
      <c r="E998" s="47"/>
      <c r="F998" s="47"/>
      <c r="G998" s="47"/>
      <c r="H998" s="47"/>
      <c r="I998" s="47"/>
      <c r="J998" s="48"/>
      <c r="K998" s="47"/>
      <c r="L998" s="47"/>
      <c r="M998" s="47"/>
      <c r="N998" s="47"/>
      <c r="O998" s="47"/>
      <c r="P998" s="47"/>
      <c r="Q998" s="47"/>
      <c r="R998" s="47"/>
      <c r="S998" s="49"/>
      <c r="T998" s="49"/>
      <c r="U998" s="47"/>
      <c r="V998" s="50"/>
      <c r="W998" s="47"/>
      <c r="X998" s="47"/>
      <c r="Y998" s="47"/>
      <c r="Z998" s="49"/>
      <c r="AA998" s="49"/>
      <c r="AB998" s="20"/>
    </row>
    <row r="999" spans="1:28" ht="15.75" customHeight="1" x14ac:dyDescent="0.25">
      <c r="A999" s="47"/>
      <c r="B999" s="47"/>
      <c r="C999" s="47"/>
      <c r="D999" s="47"/>
      <c r="E999" s="47"/>
      <c r="F999" s="47"/>
      <c r="G999" s="47"/>
      <c r="H999" s="47"/>
      <c r="I999" s="47"/>
      <c r="J999" s="48"/>
      <c r="K999" s="47"/>
      <c r="L999" s="47"/>
      <c r="M999" s="47"/>
      <c r="N999" s="47"/>
      <c r="O999" s="47"/>
      <c r="P999" s="47"/>
      <c r="Q999" s="47"/>
      <c r="R999" s="47"/>
      <c r="S999" s="49"/>
      <c r="T999" s="49"/>
      <c r="U999" s="47"/>
      <c r="V999" s="50"/>
      <c r="W999" s="47"/>
      <c r="X999" s="47"/>
      <c r="Y999" s="47"/>
      <c r="Z999" s="49"/>
      <c r="AA999" s="49"/>
      <c r="AB999" s="20"/>
    </row>
  </sheetData>
  <hyperlinks>
    <hyperlink ref="T2" r:id="rId1" xr:uid="{00000000-0004-0000-0000-000000000000}"/>
    <hyperlink ref="T3" r:id="rId2" xr:uid="{00000000-0004-0000-0000-000001000000}"/>
    <hyperlink ref="T4" r:id="rId3" xr:uid="{00000000-0004-0000-0000-000002000000}"/>
    <hyperlink ref="T5" r:id="rId4" xr:uid="{00000000-0004-0000-0000-000003000000}"/>
    <hyperlink ref="T6" r:id="rId5" xr:uid="{00000000-0004-0000-0000-000004000000}"/>
    <hyperlink ref="T7" r:id="rId6" xr:uid="{00000000-0004-0000-0000-000005000000}"/>
    <hyperlink ref="T8" r:id="rId7" xr:uid="{00000000-0004-0000-0000-000006000000}"/>
    <hyperlink ref="T9" r:id="rId8" xr:uid="{00000000-0004-0000-0000-000007000000}"/>
    <hyperlink ref="T10" r:id="rId9" xr:uid="{00000000-0004-0000-0000-000008000000}"/>
    <hyperlink ref="T11" r:id="rId10" xr:uid="{00000000-0004-0000-0000-000009000000}"/>
    <hyperlink ref="T12" r:id="rId11" xr:uid="{00000000-0004-0000-0000-00000A000000}"/>
    <hyperlink ref="T13" r:id="rId12" xr:uid="{00000000-0004-0000-0000-00000B000000}"/>
    <hyperlink ref="T14" r:id="rId13" xr:uid="{00000000-0004-0000-0000-00000C000000}"/>
    <hyperlink ref="T15" r:id="rId14" xr:uid="{00000000-0004-0000-0000-00000D000000}"/>
    <hyperlink ref="T16" r:id="rId15" xr:uid="{00000000-0004-0000-0000-00000E000000}"/>
    <hyperlink ref="T17" r:id="rId16" xr:uid="{00000000-0004-0000-0000-00000F000000}"/>
    <hyperlink ref="T18" r:id="rId17" xr:uid="{00000000-0004-0000-0000-000010000000}"/>
    <hyperlink ref="T19" r:id="rId18" xr:uid="{00000000-0004-0000-0000-000011000000}"/>
    <hyperlink ref="T20" r:id="rId19" xr:uid="{00000000-0004-0000-0000-000012000000}"/>
    <hyperlink ref="T21" r:id="rId20" xr:uid="{00000000-0004-0000-0000-000013000000}"/>
    <hyperlink ref="T22" r:id="rId21" xr:uid="{00000000-0004-0000-0000-000014000000}"/>
    <hyperlink ref="T24" r:id="rId22" xr:uid="{00000000-0004-0000-0000-000015000000}"/>
    <hyperlink ref="T25" r:id="rId23" xr:uid="{00000000-0004-0000-0000-000016000000}"/>
    <hyperlink ref="T26" r:id="rId24" xr:uid="{00000000-0004-0000-0000-000017000000}"/>
    <hyperlink ref="T27" r:id="rId25" xr:uid="{00000000-0004-0000-0000-000018000000}"/>
    <hyperlink ref="T28" r:id="rId26" xr:uid="{00000000-0004-0000-0000-000019000000}"/>
    <hyperlink ref="T29" r:id="rId27" xr:uid="{00000000-0004-0000-0000-00001A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8"/>
  <sheetViews>
    <sheetView zoomScale="69" zoomScaleNormal="69" workbookViewId="0">
      <pane ySplit="1" topLeftCell="A14" activePane="bottomLeft" state="frozen"/>
      <selection pane="bottomLeft" sqref="A1:XFD1"/>
    </sheetView>
  </sheetViews>
  <sheetFormatPr defaultColWidth="14.42578125" defaultRowHeight="15" customHeight="1" x14ac:dyDescent="0.25"/>
  <cols>
    <col min="5" max="5" width="18.7109375" customWidth="1"/>
    <col min="20" max="20" width="35" customWidth="1"/>
  </cols>
  <sheetData>
    <row r="1" spans="1:28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1" t="s">
        <v>128</v>
      </c>
      <c r="M1" s="1" t="s">
        <v>12</v>
      </c>
      <c r="N1" s="1" t="s">
        <v>129</v>
      </c>
      <c r="O1" s="1" t="s">
        <v>130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26</v>
      </c>
      <c r="Y1" s="4" t="s">
        <v>27</v>
      </c>
      <c r="Z1" s="4"/>
      <c r="AA1" s="4"/>
      <c r="AB1" s="4"/>
    </row>
    <row r="2" spans="1:28" ht="39.950000000000003" customHeight="1" x14ac:dyDescent="0.25">
      <c r="A2" s="5" t="s">
        <v>131</v>
      </c>
      <c r="B2" s="5" t="s">
        <v>132</v>
      </c>
      <c r="C2" s="5" t="s">
        <v>30</v>
      </c>
      <c r="D2" s="5" t="s">
        <v>133</v>
      </c>
      <c r="E2" s="5" t="s">
        <v>445</v>
      </c>
      <c r="F2" s="5">
        <v>1</v>
      </c>
      <c r="G2" s="5" t="s">
        <v>32</v>
      </c>
      <c r="H2" s="5" t="s">
        <v>33</v>
      </c>
      <c r="I2" s="5">
        <v>2.4</v>
      </c>
      <c r="J2" s="5">
        <v>2.4</v>
      </c>
      <c r="K2" s="5">
        <v>2.5000000000000001E-2</v>
      </c>
      <c r="L2" s="8">
        <f t="shared" ref="L2:L25" si="0">PRODUCT(I2:K2)</f>
        <v>0.14399999999999999</v>
      </c>
      <c r="M2" s="5">
        <v>1</v>
      </c>
      <c r="N2" s="5">
        <f t="shared" ref="N2:N25" si="1">PRODUCT(L2:M2)</f>
        <v>0.14399999999999999</v>
      </c>
      <c r="O2" s="5">
        <v>800</v>
      </c>
      <c r="P2" s="6">
        <f t="shared" ref="P2:P5" si="2">PRODUCT(N2:O2)</f>
        <v>115.19999999999999</v>
      </c>
      <c r="Q2" s="7">
        <f t="shared" ref="Q2:Q29" si="3">P2/5.76</f>
        <v>20</v>
      </c>
      <c r="R2" s="8">
        <v>2.4</v>
      </c>
      <c r="S2" s="9" t="s">
        <v>34</v>
      </c>
      <c r="T2" s="10" t="s">
        <v>134</v>
      </c>
      <c r="U2" s="7">
        <f>R2*5.76</f>
        <v>13.824</v>
      </c>
      <c r="V2" s="7">
        <f>R2</f>
        <v>2.4</v>
      </c>
      <c r="W2" s="5" t="s">
        <v>135</v>
      </c>
      <c r="X2" s="11" t="s">
        <v>39</v>
      </c>
      <c r="Y2" s="12">
        <v>6</v>
      </c>
      <c r="Z2" s="49"/>
      <c r="AA2" s="49"/>
      <c r="AB2" s="49"/>
    </row>
    <row r="3" spans="1:28" ht="39.950000000000003" customHeight="1" x14ac:dyDescent="0.25">
      <c r="A3" s="5" t="s">
        <v>131</v>
      </c>
      <c r="B3" s="5" t="s">
        <v>132</v>
      </c>
      <c r="C3" s="5" t="s">
        <v>30</v>
      </c>
      <c r="D3" s="5" t="s">
        <v>133</v>
      </c>
      <c r="E3" s="5" t="s">
        <v>445</v>
      </c>
      <c r="F3" s="5">
        <v>2</v>
      </c>
      <c r="G3" s="5" t="s">
        <v>42</v>
      </c>
      <c r="H3" s="5" t="s">
        <v>43</v>
      </c>
      <c r="I3" s="5">
        <v>0.2</v>
      </c>
      <c r="J3" s="5">
        <v>2.4</v>
      </c>
      <c r="K3" s="5">
        <v>1.1999999999999999E-3</v>
      </c>
      <c r="L3" s="8">
        <f t="shared" si="0"/>
        <v>5.7599999999999991E-4</v>
      </c>
      <c r="M3" s="5">
        <v>5</v>
      </c>
      <c r="N3" s="5">
        <f t="shared" si="1"/>
        <v>2.8799999999999997E-3</v>
      </c>
      <c r="O3" s="5">
        <v>7800</v>
      </c>
      <c r="P3" s="6">
        <f t="shared" si="2"/>
        <v>22.463999999999999</v>
      </c>
      <c r="Q3" s="7">
        <f t="shared" si="3"/>
        <v>3.9</v>
      </c>
      <c r="R3" s="8">
        <v>2.4900000000000002</v>
      </c>
      <c r="S3" s="9" t="s">
        <v>44</v>
      </c>
      <c r="T3" s="10" t="s">
        <v>136</v>
      </c>
      <c r="U3" s="7">
        <f t="shared" ref="U3:U5" si="4">P3*R3</f>
        <v>55.935360000000003</v>
      </c>
      <c r="V3" s="7">
        <f t="shared" ref="V3:V5" si="5">Q3*R3</f>
        <v>9.7110000000000003</v>
      </c>
      <c r="W3" s="5" t="s">
        <v>135</v>
      </c>
      <c r="X3" s="11" t="s">
        <v>39</v>
      </c>
      <c r="Y3" s="12">
        <v>6</v>
      </c>
      <c r="Z3" s="49"/>
      <c r="AA3" s="49"/>
      <c r="AB3" s="49"/>
    </row>
    <row r="4" spans="1:28" ht="39.950000000000003" customHeight="1" x14ac:dyDescent="0.25">
      <c r="A4" s="5" t="s">
        <v>131</v>
      </c>
      <c r="B4" s="5" t="s">
        <v>132</v>
      </c>
      <c r="C4" s="5" t="s">
        <v>30</v>
      </c>
      <c r="D4" s="5" t="s">
        <v>133</v>
      </c>
      <c r="E4" s="5" t="s">
        <v>445</v>
      </c>
      <c r="F4" s="5">
        <v>3</v>
      </c>
      <c r="G4" s="5" t="s">
        <v>46</v>
      </c>
      <c r="H4" s="5" t="s">
        <v>47</v>
      </c>
      <c r="I4" s="5">
        <v>0.2</v>
      </c>
      <c r="J4" s="5">
        <v>2.4</v>
      </c>
      <c r="K4" s="5">
        <v>1.1999999999999999E-3</v>
      </c>
      <c r="L4" s="8">
        <f t="shared" si="0"/>
        <v>5.7599999999999991E-4</v>
      </c>
      <c r="M4" s="5">
        <v>2</v>
      </c>
      <c r="N4" s="5">
        <f t="shared" si="1"/>
        <v>1.1519999999999998E-3</v>
      </c>
      <c r="O4" s="5">
        <v>7800</v>
      </c>
      <c r="P4" s="6">
        <f t="shared" si="2"/>
        <v>8.985599999999998</v>
      </c>
      <c r="Q4" s="7">
        <f t="shared" si="3"/>
        <v>1.5599999999999996</v>
      </c>
      <c r="R4" s="8">
        <v>2.4900000000000002</v>
      </c>
      <c r="S4" s="9" t="s">
        <v>44</v>
      </c>
      <c r="T4" s="10" t="s">
        <v>138</v>
      </c>
      <c r="U4" s="7">
        <f t="shared" si="4"/>
        <v>22.374143999999998</v>
      </c>
      <c r="V4" s="7">
        <f t="shared" si="5"/>
        <v>3.8843999999999994</v>
      </c>
      <c r="W4" s="5" t="s">
        <v>135</v>
      </c>
      <c r="X4" s="11" t="s">
        <v>39</v>
      </c>
      <c r="Y4" s="12">
        <v>6</v>
      </c>
      <c r="Z4" s="52"/>
      <c r="AA4" s="47"/>
      <c r="AB4" s="47"/>
    </row>
    <row r="5" spans="1:28" ht="39.950000000000003" customHeight="1" x14ac:dyDescent="0.25">
      <c r="A5" s="5" t="s">
        <v>131</v>
      </c>
      <c r="B5" s="5" t="s">
        <v>132</v>
      </c>
      <c r="C5" s="5" t="s">
        <v>30</v>
      </c>
      <c r="D5" s="5" t="s">
        <v>133</v>
      </c>
      <c r="E5" s="5" t="s">
        <v>445</v>
      </c>
      <c r="F5" s="5">
        <v>4</v>
      </c>
      <c r="G5" s="5" t="s">
        <v>49</v>
      </c>
      <c r="H5" s="5" t="s">
        <v>50</v>
      </c>
      <c r="I5" s="5">
        <v>0.2</v>
      </c>
      <c r="J5" s="5">
        <v>2.4</v>
      </c>
      <c r="K5" s="5">
        <v>1.1999999999999999E-3</v>
      </c>
      <c r="L5" s="8">
        <f t="shared" si="0"/>
        <v>5.7599999999999991E-4</v>
      </c>
      <c r="M5" s="5">
        <v>1</v>
      </c>
      <c r="N5" s="5">
        <f t="shared" si="1"/>
        <v>5.7599999999999991E-4</v>
      </c>
      <c r="O5" s="5">
        <v>7800</v>
      </c>
      <c r="P5" s="6">
        <f t="shared" si="2"/>
        <v>4.492799999999999</v>
      </c>
      <c r="Q5" s="7">
        <f t="shared" si="3"/>
        <v>0.7799999999999998</v>
      </c>
      <c r="R5" s="8">
        <v>2.4900000000000002</v>
      </c>
      <c r="S5" s="9" t="s">
        <v>44</v>
      </c>
      <c r="T5" s="10" t="s">
        <v>140</v>
      </c>
      <c r="U5" s="7">
        <f t="shared" si="4"/>
        <v>11.187071999999999</v>
      </c>
      <c r="V5" s="7">
        <f t="shared" si="5"/>
        <v>1.9421999999999997</v>
      </c>
      <c r="W5" s="5" t="s">
        <v>135</v>
      </c>
      <c r="X5" s="11" t="s">
        <v>39</v>
      </c>
      <c r="Y5" s="12">
        <v>6</v>
      </c>
      <c r="Z5" s="52"/>
      <c r="AA5" s="47"/>
      <c r="AB5" s="47"/>
    </row>
    <row r="6" spans="1:28" ht="39.950000000000003" customHeight="1" x14ac:dyDescent="0.25">
      <c r="A6" s="5" t="s">
        <v>131</v>
      </c>
      <c r="B6" s="5" t="s">
        <v>132</v>
      </c>
      <c r="C6" s="5" t="s">
        <v>30</v>
      </c>
      <c r="D6" s="5" t="s">
        <v>133</v>
      </c>
      <c r="E6" s="5" t="s">
        <v>445</v>
      </c>
      <c r="F6" s="5">
        <v>5</v>
      </c>
      <c r="G6" s="5" t="s">
        <v>141</v>
      </c>
      <c r="H6" s="5" t="s">
        <v>56</v>
      </c>
      <c r="I6" s="5">
        <v>2.4</v>
      </c>
      <c r="J6" s="5">
        <v>2.4</v>
      </c>
      <c r="K6" s="5">
        <v>0.09</v>
      </c>
      <c r="L6" s="8">
        <f t="shared" si="0"/>
        <v>0.51839999999999997</v>
      </c>
      <c r="M6" s="5">
        <v>1</v>
      </c>
      <c r="N6" s="5">
        <f t="shared" si="1"/>
        <v>0.51839999999999997</v>
      </c>
      <c r="O6" s="5">
        <v>22</v>
      </c>
      <c r="P6" s="6">
        <f>N6*O6</f>
        <v>11.4048</v>
      </c>
      <c r="Q6" s="7">
        <f t="shared" si="3"/>
        <v>1.98</v>
      </c>
      <c r="R6" s="8">
        <v>3.42</v>
      </c>
      <c r="S6" s="9" t="s">
        <v>34</v>
      </c>
      <c r="T6" s="10" t="s">
        <v>142</v>
      </c>
      <c r="U6" s="7">
        <f t="shared" ref="U6:U8" si="6">R6*5.76</f>
        <v>19.699199999999998</v>
      </c>
      <c r="V6" s="7">
        <f t="shared" ref="V6:V8" si="7">R6</f>
        <v>3.42</v>
      </c>
      <c r="W6" s="5" t="s">
        <v>135</v>
      </c>
      <c r="X6" s="11" t="s">
        <v>39</v>
      </c>
      <c r="Y6" s="12">
        <v>6</v>
      </c>
      <c r="Z6" s="49"/>
      <c r="AA6" s="49"/>
      <c r="AB6" s="49"/>
    </row>
    <row r="7" spans="1:28" ht="39.950000000000003" customHeight="1" x14ac:dyDescent="0.25">
      <c r="A7" s="5" t="s">
        <v>131</v>
      </c>
      <c r="B7" s="5" t="s">
        <v>132</v>
      </c>
      <c r="C7" s="5" t="s">
        <v>30</v>
      </c>
      <c r="D7" s="5" t="s">
        <v>133</v>
      </c>
      <c r="E7" s="5" t="s">
        <v>445</v>
      </c>
      <c r="F7" s="5">
        <v>6</v>
      </c>
      <c r="G7" s="5" t="s">
        <v>32</v>
      </c>
      <c r="H7" s="5" t="s">
        <v>33</v>
      </c>
      <c r="I7" s="5">
        <v>2.4</v>
      </c>
      <c r="J7" s="5">
        <v>2.4</v>
      </c>
      <c r="K7" s="5">
        <v>2.5000000000000001E-2</v>
      </c>
      <c r="L7" s="8">
        <f t="shared" si="0"/>
        <v>0.14399999999999999</v>
      </c>
      <c r="M7" s="5">
        <v>1</v>
      </c>
      <c r="N7" s="5">
        <f t="shared" si="1"/>
        <v>0.14399999999999999</v>
      </c>
      <c r="O7" s="5">
        <v>800</v>
      </c>
      <c r="P7" s="6">
        <f t="shared" ref="P7:P11" si="8">PRODUCT(N7:O7)</f>
        <v>115.19999999999999</v>
      </c>
      <c r="Q7" s="7">
        <f t="shared" si="3"/>
        <v>20</v>
      </c>
      <c r="R7" s="8">
        <v>2.4</v>
      </c>
      <c r="S7" s="9" t="s">
        <v>34</v>
      </c>
      <c r="T7" s="10" t="s">
        <v>143</v>
      </c>
      <c r="U7" s="7">
        <f t="shared" si="6"/>
        <v>13.824</v>
      </c>
      <c r="V7" s="7">
        <f t="shared" si="7"/>
        <v>2.4</v>
      </c>
      <c r="W7" s="5" t="s">
        <v>135</v>
      </c>
      <c r="X7" s="11" t="s">
        <v>39</v>
      </c>
      <c r="Y7" s="12">
        <v>6</v>
      </c>
      <c r="Z7" s="49"/>
      <c r="AA7" s="49"/>
      <c r="AB7" s="49"/>
    </row>
    <row r="8" spans="1:28" ht="39.950000000000003" customHeight="1" x14ac:dyDescent="0.25">
      <c r="A8" s="53" t="s">
        <v>131</v>
      </c>
      <c r="B8" s="53" t="s">
        <v>137</v>
      </c>
      <c r="C8" s="53" t="s">
        <v>30</v>
      </c>
      <c r="D8" s="53" t="s">
        <v>144</v>
      </c>
      <c r="E8" s="53" t="s">
        <v>445</v>
      </c>
      <c r="F8" s="53">
        <v>1</v>
      </c>
      <c r="G8" s="53" t="s">
        <v>32</v>
      </c>
      <c r="H8" s="53" t="s">
        <v>33</v>
      </c>
      <c r="I8" s="53">
        <v>2.4</v>
      </c>
      <c r="J8" s="53">
        <v>2.4</v>
      </c>
      <c r="K8" s="53">
        <v>2.5000000000000001E-2</v>
      </c>
      <c r="L8" s="54">
        <f t="shared" si="0"/>
        <v>0.14399999999999999</v>
      </c>
      <c r="M8" s="53">
        <v>1</v>
      </c>
      <c r="N8" s="53">
        <f t="shared" si="1"/>
        <v>0.14399999999999999</v>
      </c>
      <c r="O8" s="53">
        <v>800</v>
      </c>
      <c r="P8" s="55">
        <f t="shared" si="8"/>
        <v>115.19999999999999</v>
      </c>
      <c r="Q8" s="56">
        <f t="shared" si="3"/>
        <v>20</v>
      </c>
      <c r="R8" s="54">
        <v>2.4</v>
      </c>
      <c r="S8" s="57" t="s">
        <v>34</v>
      </c>
      <c r="T8" s="58" t="s">
        <v>145</v>
      </c>
      <c r="U8" s="56">
        <f t="shared" si="6"/>
        <v>13.824</v>
      </c>
      <c r="V8" s="56">
        <f t="shared" si="7"/>
        <v>2.4</v>
      </c>
      <c r="W8" s="53" t="s">
        <v>135</v>
      </c>
      <c r="X8" s="59" t="s">
        <v>39</v>
      </c>
      <c r="Y8" s="60">
        <v>6</v>
      </c>
      <c r="Z8" s="49"/>
      <c r="AA8" s="49"/>
      <c r="AB8" s="49"/>
    </row>
    <row r="9" spans="1:28" ht="39.950000000000003" customHeight="1" x14ac:dyDescent="0.25">
      <c r="A9" s="53" t="s">
        <v>131</v>
      </c>
      <c r="B9" s="53" t="s">
        <v>137</v>
      </c>
      <c r="C9" s="53" t="s">
        <v>30</v>
      </c>
      <c r="D9" s="53" t="s">
        <v>144</v>
      </c>
      <c r="E9" s="53" t="s">
        <v>445</v>
      </c>
      <c r="F9" s="53">
        <v>2</v>
      </c>
      <c r="G9" s="53" t="s">
        <v>42</v>
      </c>
      <c r="H9" s="53" t="s">
        <v>43</v>
      </c>
      <c r="I9" s="53">
        <v>0.2</v>
      </c>
      <c r="J9" s="53">
        <v>2.4</v>
      </c>
      <c r="K9" s="53">
        <v>1.1999999999999999E-3</v>
      </c>
      <c r="L9" s="54">
        <f t="shared" si="0"/>
        <v>5.7599999999999991E-4</v>
      </c>
      <c r="M9" s="53">
        <v>10</v>
      </c>
      <c r="N9" s="53">
        <f t="shared" si="1"/>
        <v>5.7599999999999995E-3</v>
      </c>
      <c r="O9" s="53">
        <v>7800</v>
      </c>
      <c r="P9" s="55">
        <f t="shared" si="8"/>
        <v>44.927999999999997</v>
      </c>
      <c r="Q9" s="56">
        <f t="shared" si="3"/>
        <v>7.8</v>
      </c>
      <c r="R9" s="54">
        <v>2.4900000000000002</v>
      </c>
      <c r="S9" s="57" t="s">
        <v>44</v>
      </c>
      <c r="T9" s="58" t="s">
        <v>146</v>
      </c>
      <c r="U9" s="56">
        <f t="shared" ref="U9:U11" si="9">P9*R9</f>
        <v>111.87072000000001</v>
      </c>
      <c r="V9" s="56">
        <f t="shared" ref="V9:V11" si="10">Q9*R9</f>
        <v>19.422000000000001</v>
      </c>
      <c r="W9" s="53" t="s">
        <v>135</v>
      </c>
      <c r="X9" s="59" t="s">
        <v>39</v>
      </c>
      <c r="Y9" s="60">
        <v>6</v>
      </c>
      <c r="Z9" s="49"/>
      <c r="AA9" s="49"/>
      <c r="AB9" s="49"/>
    </row>
    <row r="10" spans="1:28" ht="39.950000000000003" customHeight="1" x14ac:dyDescent="0.25">
      <c r="A10" s="53" t="s">
        <v>131</v>
      </c>
      <c r="B10" s="53" t="s">
        <v>137</v>
      </c>
      <c r="C10" s="53" t="s">
        <v>30</v>
      </c>
      <c r="D10" s="53" t="s">
        <v>144</v>
      </c>
      <c r="E10" s="53" t="s">
        <v>445</v>
      </c>
      <c r="F10" s="53">
        <v>3</v>
      </c>
      <c r="G10" s="53" t="s">
        <v>46</v>
      </c>
      <c r="H10" s="53" t="s">
        <v>47</v>
      </c>
      <c r="I10" s="53">
        <v>0.2</v>
      </c>
      <c r="J10" s="53">
        <v>2.4</v>
      </c>
      <c r="K10" s="53">
        <v>1.1999999999999999E-3</v>
      </c>
      <c r="L10" s="54">
        <f t="shared" si="0"/>
        <v>5.7599999999999991E-4</v>
      </c>
      <c r="M10" s="53">
        <v>4</v>
      </c>
      <c r="N10" s="53">
        <f t="shared" si="1"/>
        <v>2.3039999999999996E-3</v>
      </c>
      <c r="O10" s="53">
        <v>7800</v>
      </c>
      <c r="P10" s="55">
        <f t="shared" si="8"/>
        <v>17.971199999999996</v>
      </c>
      <c r="Q10" s="56">
        <f t="shared" si="3"/>
        <v>3.1199999999999992</v>
      </c>
      <c r="R10" s="54">
        <v>2.4900000000000002</v>
      </c>
      <c r="S10" s="57" t="s">
        <v>44</v>
      </c>
      <c r="T10" s="58" t="s">
        <v>147</v>
      </c>
      <c r="U10" s="56">
        <f t="shared" si="9"/>
        <v>44.748287999999995</v>
      </c>
      <c r="V10" s="56">
        <f t="shared" si="10"/>
        <v>7.7687999999999988</v>
      </c>
      <c r="W10" s="53" t="s">
        <v>135</v>
      </c>
      <c r="X10" s="59" t="s">
        <v>39</v>
      </c>
      <c r="Y10" s="60">
        <v>6</v>
      </c>
      <c r="Z10" s="52"/>
      <c r="AA10" s="47"/>
      <c r="AB10" s="47"/>
    </row>
    <row r="11" spans="1:28" ht="39.950000000000003" customHeight="1" x14ac:dyDescent="0.25">
      <c r="A11" s="53" t="s">
        <v>131</v>
      </c>
      <c r="B11" s="53" t="s">
        <v>137</v>
      </c>
      <c r="C11" s="53" t="s">
        <v>30</v>
      </c>
      <c r="D11" s="53" t="s">
        <v>144</v>
      </c>
      <c r="E11" s="53" t="s">
        <v>445</v>
      </c>
      <c r="F11" s="53">
        <v>4</v>
      </c>
      <c r="G11" s="53" t="s">
        <v>49</v>
      </c>
      <c r="H11" s="53" t="s">
        <v>50</v>
      </c>
      <c r="I11" s="53">
        <v>0.2</v>
      </c>
      <c r="J11" s="53">
        <v>2.4</v>
      </c>
      <c r="K11" s="53">
        <v>1.1999999999999999E-3</v>
      </c>
      <c r="L11" s="54">
        <f t="shared" si="0"/>
        <v>5.7599999999999991E-4</v>
      </c>
      <c r="M11" s="53">
        <v>2</v>
      </c>
      <c r="N11" s="53">
        <f t="shared" si="1"/>
        <v>1.1519999999999998E-3</v>
      </c>
      <c r="O11" s="53">
        <v>7800</v>
      </c>
      <c r="P11" s="55">
        <f t="shared" si="8"/>
        <v>8.985599999999998</v>
      </c>
      <c r="Q11" s="56">
        <f t="shared" si="3"/>
        <v>1.5599999999999996</v>
      </c>
      <c r="R11" s="54">
        <v>2.4900000000000002</v>
      </c>
      <c r="S11" s="57" t="s">
        <v>44</v>
      </c>
      <c r="T11" s="58" t="s">
        <v>148</v>
      </c>
      <c r="U11" s="56">
        <f t="shared" si="9"/>
        <v>22.374143999999998</v>
      </c>
      <c r="V11" s="56">
        <f t="shared" si="10"/>
        <v>3.8843999999999994</v>
      </c>
      <c r="W11" s="53" t="s">
        <v>135</v>
      </c>
      <c r="X11" s="59" t="s">
        <v>39</v>
      </c>
      <c r="Y11" s="60">
        <v>6</v>
      </c>
      <c r="Z11" s="52"/>
      <c r="AA11" s="47"/>
      <c r="AB11" s="47"/>
    </row>
    <row r="12" spans="1:28" ht="39.950000000000003" customHeight="1" x14ac:dyDescent="0.25">
      <c r="A12" s="53" t="s">
        <v>131</v>
      </c>
      <c r="B12" s="53" t="s">
        <v>137</v>
      </c>
      <c r="C12" s="53" t="s">
        <v>30</v>
      </c>
      <c r="D12" s="53" t="s">
        <v>144</v>
      </c>
      <c r="E12" s="53" t="s">
        <v>445</v>
      </c>
      <c r="F12" s="53">
        <v>5</v>
      </c>
      <c r="G12" s="53" t="s">
        <v>141</v>
      </c>
      <c r="H12" s="53" t="s">
        <v>56</v>
      </c>
      <c r="I12" s="53">
        <v>2.4</v>
      </c>
      <c r="J12" s="53">
        <v>2.4</v>
      </c>
      <c r="K12" s="53">
        <v>0.09</v>
      </c>
      <c r="L12" s="54">
        <f t="shared" si="0"/>
        <v>0.51839999999999997</v>
      </c>
      <c r="M12" s="53">
        <v>1</v>
      </c>
      <c r="N12" s="53">
        <f t="shared" si="1"/>
        <v>0.51839999999999997</v>
      </c>
      <c r="O12" s="53">
        <v>22</v>
      </c>
      <c r="P12" s="55">
        <f>N12*O12</f>
        <v>11.4048</v>
      </c>
      <c r="Q12" s="56">
        <f t="shared" si="3"/>
        <v>1.98</v>
      </c>
      <c r="R12" s="54">
        <v>3.42</v>
      </c>
      <c r="S12" s="57" t="s">
        <v>34</v>
      </c>
      <c r="T12" s="58" t="s">
        <v>149</v>
      </c>
      <c r="U12" s="56">
        <f t="shared" ref="U12:U14" si="11">R12*5.76</f>
        <v>19.699199999999998</v>
      </c>
      <c r="V12" s="56">
        <f t="shared" ref="V12:V14" si="12">R12</f>
        <v>3.42</v>
      </c>
      <c r="W12" s="53" t="s">
        <v>135</v>
      </c>
      <c r="X12" s="59" t="s">
        <v>39</v>
      </c>
      <c r="Y12" s="60">
        <v>6</v>
      </c>
      <c r="Z12" s="49"/>
      <c r="AA12" s="49"/>
      <c r="AB12" s="49"/>
    </row>
    <row r="13" spans="1:28" ht="39.950000000000003" customHeight="1" x14ac:dyDescent="0.25">
      <c r="A13" s="53" t="s">
        <v>131</v>
      </c>
      <c r="B13" s="53" t="s">
        <v>137</v>
      </c>
      <c r="C13" s="53" t="s">
        <v>30</v>
      </c>
      <c r="D13" s="53" t="s">
        <v>144</v>
      </c>
      <c r="E13" s="53" t="s">
        <v>445</v>
      </c>
      <c r="F13" s="53">
        <v>6</v>
      </c>
      <c r="G13" s="53" t="s">
        <v>32</v>
      </c>
      <c r="H13" s="53" t="s">
        <v>33</v>
      </c>
      <c r="I13" s="53">
        <v>2.4</v>
      </c>
      <c r="J13" s="53">
        <v>2.4</v>
      </c>
      <c r="K13" s="53">
        <v>2.5000000000000001E-2</v>
      </c>
      <c r="L13" s="54">
        <f t="shared" si="0"/>
        <v>0.14399999999999999</v>
      </c>
      <c r="M13" s="53">
        <v>1</v>
      </c>
      <c r="N13" s="53">
        <f t="shared" si="1"/>
        <v>0.14399999999999999</v>
      </c>
      <c r="O13" s="53">
        <v>800</v>
      </c>
      <c r="P13" s="55">
        <f t="shared" ref="P13:P17" si="13">PRODUCT(N13:O13)</f>
        <v>115.19999999999999</v>
      </c>
      <c r="Q13" s="56">
        <f t="shared" si="3"/>
        <v>20</v>
      </c>
      <c r="R13" s="54">
        <v>2.4</v>
      </c>
      <c r="S13" s="57" t="s">
        <v>34</v>
      </c>
      <c r="T13" s="58" t="s">
        <v>150</v>
      </c>
      <c r="U13" s="56">
        <f t="shared" si="11"/>
        <v>13.824</v>
      </c>
      <c r="V13" s="56">
        <f t="shared" si="12"/>
        <v>2.4</v>
      </c>
      <c r="W13" s="53" t="s">
        <v>135</v>
      </c>
      <c r="X13" s="59" t="s">
        <v>39</v>
      </c>
      <c r="Y13" s="60">
        <v>6</v>
      </c>
      <c r="Z13" s="49"/>
      <c r="AA13" s="49"/>
      <c r="AB13" s="49"/>
    </row>
    <row r="14" spans="1:28" ht="39.950000000000003" customHeight="1" x14ac:dyDescent="0.25">
      <c r="A14" s="13" t="s">
        <v>131</v>
      </c>
      <c r="B14" s="13" t="s">
        <v>139</v>
      </c>
      <c r="C14" s="13" t="s">
        <v>65</v>
      </c>
      <c r="D14" s="13" t="s">
        <v>151</v>
      </c>
      <c r="E14" s="13" t="s">
        <v>445</v>
      </c>
      <c r="F14" s="13">
        <v>1</v>
      </c>
      <c r="G14" s="13" t="s">
        <v>32</v>
      </c>
      <c r="H14" s="13" t="s">
        <v>33</v>
      </c>
      <c r="I14" s="13">
        <v>2.4</v>
      </c>
      <c r="J14" s="13">
        <v>2.4</v>
      </c>
      <c r="K14" s="13">
        <v>2.5000000000000001E-2</v>
      </c>
      <c r="L14" s="16">
        <f t="shared" si="0"/>
        <v>0.14399999999999999</v>
      </c>
      <c r="M14" s="13">
        <v>1</v>
      </c>
      <c r="N14" s="13">
        <f t="shared" si="1"/>
        <v>0.14399999999999999</v>
      </c>
      <c r="O14" s="13">
        <v>800</v>
      </c>
      <c r="P14" s="14">
        <f t="shared" si="13"/>
        <v>115.19999999999999</v>
      </c>
      <c r="Q14" s="15">
        <f t="shared" si="3"/>
        <v>20</v>
      </c>
      <c r="R14" s="16">
        <v>2.4</v>
      </c>
      <c r="S14" s="17" t="s">
        <v>34</v>
      </c>
      <c r="T14" s="18" t="s">
        <v>152</v>
      </c>
      <c r="U14" s="15">
        <f t="shared" si="11"/>
        <v>13.824</v>
      </c>
      <c r="V14" s="15">
        <f t="shared" si="12"/>
        <v>2.4</v>
      </c>
      <c r="W14" s="13" t="s">
        <v>68</v>
      </c>
      <c r="X14" s="19" t="s">
        <v>39</v>
      </c>
      <c r="Y14" s="20">
        <v>3</v>
      </c>
      <c r="Z14" s="49"/>
      <c r="AA14" s="49"/>
      <c r="AB14" s="49"/>
    </row>
    <row r="15" spans="1:28" ht="39.950000000000003" customHeight="1" x14ac:dyDescent="0.25">
      <c r="A15" s="13" t="s">
        <v>131</v>
      </c>
      <c r="B15" s="13" t="s">
        <v>139</v>
      </c>
      <c r="C15" s="13" t="s">
        <v>65</v>
      </c>
      <c r="D15" s="13" t="s">
        <v>151</v>
      </c>
      <c r="E15" s="13" t="s">
        <v>445</v>
      </c>
      <c r="F15" s="61">
        <v>3</v>
      </c>
      <c r="G15" s="61" t="s">
        <v>153</v>
      </c>
      <c r="H15" s="13" t="s">
        <v>154</v>
      </c>
      <c r="I15" s="13">
        <v>3.7999999999999999E-2</v>
      </c>
      <c r="J15" s="13">
        <v>2.4</v>
      </c>
      <c r="K15" s="13">
        <v>8.8999999999999996E-2</v>
      </c>
      <c r="L15" s="16">
        <f t="shared" si="0"/>
        <v>8.1167999999999987E-3</v>
      </c>
      <c r="M15" s="13">
        <v>7</v>
      </c>
      <c r="N15" s="13">
        <f t="shared" si="1"/>
        <v>5.6817599999999989E-2</v>
      </c>
      <c r="O15" s="13">
        <v>510</v>
      </c>
      <c r="P15" s="15">
        <f t="shared" si="13"/>
        <v>28.976975999999993</v>
      </c>
      <c r="Q15" s="15">
        <f t="shared" si="3"/>
        <v>5.0307249999999994</v>
      </c>
      <c r="R15" s="13">
        <v>0.26300000000000001</v>
      </c>
      <c r="S15" s="19" t="s">
        <v>44</v>
      </c>
      <c r="T15" s="19" t="s">
        <v>155</v>
      </c>
      <c r="U15" s="15">
        <f t="shared" ref="U15:U17" si="14">P15*R15</f>
        <v>7.6209446879999989</v>
      </c>
      <c r="V15" s="15">
        <f t="shared" ref="V15:V17" si="15">Q15*R15</f>
        <v>1.3230806749999999</v>
      </c>
      <c r="W15" s="13" t="s">
        <v>68</v>
      </c>
      <c r="X15" s="19" t="s">
        <v>39</v>
      </c>
      <c r="Y15" s="13">
        <v>3</v>
      </c>
      <c r="Z15" s="52"/>
      <c r="AA15" s="52"/>
      <c r="AB15" s="49"/>
    </row>
    <row r="16" spans="1:28" ht="39.950000000000003" customHeight="1" x14ac:dyDescent="0.25">
      <c r="A16" s="13" t="s">
        <v>131</v>
      </c>
      <c r="B16" s="13" t="s">
        <v>139</v>
      </c>
      <c r="C16" s="13" t="s">
        <v>65</v>
      </c>
      <c r="D16" s="13" t="s">
        <v>151</v>
      </c>
      <c r="E16" s="13" t="s">
        <v>445</v>
      </c>
      <c r="F16" s="61">
        <v>4</v>
      </c>
      <c r="G16" s="61" t="s">
        <v>75</v>
      </c>
      <c r="H16" s="13" t="s">
        <v>156</v>
      </c>
      <c r="I16" s="13">
        <v>3.7999999999999999E-2</v>
      </c>
      <c r="J16" s="13">
        <v>2.4</v>
      </c>
      <c r="K16" s="13">
        <v>8.8999999999999996E-2</v>
      </c>
      <c r="L16" s="16">
        <f t="shared" si="0"/>
        <v>8.1167999999999987E-3</v>
      </c>
      <c r="M16" s="13">
        <v>2</v>
      </c>
      <c r="N16" s="13">
        <f t="shared" si="1"/>
        <v>1.6233599999999997E-2</v>
      </c>
      <c r="O16" s="13">
        <v>510</v>
      </c>
      <c r="P16" s="15">
        <f t="shared" si="13"/>
        <v>8.2791359999999994</v>
      </c>
      <c r="Q16" s="15">
        <f t="shared" si="3"/>
        <v>1.4373499999999999</v>
      </c>
      <c r="R16" s="13">
        <v>0.26300000000000001</v>
      </c>
      <c r="S16" s="19" t="s">
        <v>44</v>
      </c>
      <c r="T16" s="19" t="s">
        <v>155</v>
      </c>
      <c r="U16" s="15">
        <f t="shared" si="14"/>
        <v>2.1774127679999999</v>
      </c>
      <c r="V16" s="15">
        <f t="shared" si="15"/>
        <v>0.37802304999999997</v>
      </c>
      <c r="W16" s="13" t="s">
        <v>68</v>
      </c>
      <c r="X16" s="19" t="s">
        <v>39</v>
      </c>
      <c r="Y16" s="13">
        <v>3</v>
      </c>
      <c r="Z16" s="52"/>
      <c r="AA16" s="52"/>
      <c r="AB16" s="49"/>
    </row>
    <row r="17" spans="1:28" ht="39.950000000000003" customHeight="1" x14ac:dyDescent="0.25">
      <c r="A17" s="13" t="s">
        <v>131</v>
      </c>
      <c r="B17" s="13" t="s">
        <v>139</v>
      </c>
      <c r="C17" s="13" t="s">
        <v>65</v>
      </c>
      <c r="D17" s="13" t="s">
        <v>151</v>
      </c>
      <c r="E17" s="13" t="s">
        <v>445</v>
      </c>
      <c r="F17" s="61">
        <v>5</v>
      </c>
      <c r="G17" s="61" t="s">
        <v>49</v>
      </c>
      <c r="H17" s="13" t="s">
        <v>157</v>
      </c>
      <c r="I17" s="13">
        <v>3.7999999999999999E-2</v>
      </c>
      <c r="J17" s="13">
        <v>2.2000000000000002</v>
      </c>
      <c r="K17" s="13">
        <v>8.8999999999999996E-2</v>
      </c>
      <c r="L17" s="16">
        <f t="shared" si="0"/>
        <v>7.4404000000000007E-3</v>
      </c>
      <c r="M17" s="13">
        <v>1</v>
      </c>
      <c r="N17" s="13">
        <f t="shared" si="1"/>
        <v>7.4404000000000007E-3</v>
      </c>
      <c r="O17" s="13">
        <v>510</v>
      </c>
      <c r="P17" s="15">
        <f t="shared" si="13"/>
        <v>3.7946040000000005</v>
      </c>
      <c r="Q17" s="15">
        <f t="shared" si="3"/>
        <v>0.65878541666666679</v>
      </c>
      <c r="R17" s="13">
        <v>0.26300000000000001</v>
      </c>
      <c r="S17" s="19" t="s">
        <v>44</v>
      </c>
      <c r="T17" s="19" t="s">
        <v>155</v>
      </c>
      <c r="U17" s="15">
        <f t="shared" si="14"/>
        <v>0.9979808520000002</v>
      </c>
      <c r="V17" s="15">
        <f t="shared" si="15"/>
        <v>0.17326056458333336</v>
      </c>
      <c r="W17" s="13" t="s">
        <v>68</v>
      </c>
      <c r="X17" s="19" t="s">
        <v>39</v>
      </c>
      <c r="Y17" s="13">
        <v>3</v>
      </c>
      <c r="Z17" s="52"/>
      <c r="AA17" s="52"/>
      <c r="AB17" s="49"/>
    </row>
    <row r="18" spans="1:28" ht="39.950000000000003" customHeight="1" x14ac:dyDescent="0.25">
      <c r="A18" s="13" t="s">
        <v>131</v>
      </c>
      <c r="B18" s="13" t="s">
        <v>139</v>
      </c>
      <c r="C18" s="13" t="s">
        <v>65</v>
      </c>
      <c r="D18" s="13" t="s">
        <v>151</v>
      </c>
      <c r="E18" s="13" t="s">
        <v>445</v>
      </c>
      <c r="F18" s="13">
        <v>6</v>
      </c>
      <c r="G18" s="13" t="s">
        <v>141</v>
      </c>
      <c r="H18" s="13" t="s">
        <v>56</v>
      </c>
      <c r="I18" s="13">
        <v>2.4</v>
      </c>
      <c r="J18" s="13">
        <v>2.4</v>
      </c>
      <c r="K18" s="13">
        <v>0.09</v>
      </c>
      <c r="L18" s="16">
        <f t="shared" si="0"/>
        <v>0.51839999999999997</v>
      </c>
      <c r="M18" s="13">
        <v>1</v>
      </c>
      <c r="N18" s="13">
        <f t="shared" si="1"/>
        <v>0.51839999999999997</v>
      </c>
      <c r="O18" s="13">
        <v>22</v>
      </c>
      <c r="P18" s="14">
        <f>N18*O18</f>
        <v>11.4048</v>
      </c>
      <c r="Q18" s="15">
        <f t="shared" si="3"/>
        <v>1.98</v>
      </c>
      <c r="R18" s="16">
        <v>3.42</v>
      </c>
      <c r="S18" s="17" t="s">
        <v>34</v>
      </c>
      <c r="T18" s="18" t="s">
        <v>158</v>
      </c>
      <c r="U18" s="15">
        <f t="shared" ref="U18:U20" si="16">R18*5.76</f>
        <v>19.699199999999998</v>
      </c>
      <c r="V18" s="15">
        <f t="shared" ref="V18:V20" si="17">R18</f>
        <v>3.42</v>
      </c>
      <c r="W18" s="13" t="s">
        <v>36</v>
      </c>
      <c r="X18" s="19" t="s">
        <v>39</v>
      </c>
      <c r="Y18" s="20">
        <v>3</v>
      </c>
      <c r="Z18" s="49"/>
      <c r="AA18" s="49"/>
      <c r="AB18" s="49"/>
    </row>
    <row r="19" spans="1:28" ht="39.950000000000003" customHeight="1" x14ac:dyDescent="0.25">
      <c r="A19" s="13" t="s">
        <v>131</v>
      </c>
      <c r="B19" s="13" t="s">
        <v>139</v>
      </c>
      <c r="C19" s="13" t="s">
        <v>65</v>
      </c>
      <c r="D19" s="13" t="s">
        <v>151</v>
      </c>
      <c r="E19" s="13" t="s">
        <v>445</v>
      </c>
      <c r="F19" s="13">
        <v>7</v>
      </c>
      <c r="G19" s="13" t="s">
        <v>32</v>
      </c>
      <c r="H19" s="13" t="s">
        <v>33</v>
      </c>
      <c r="I19" s="13">
        <v>2.4</v>
      </c>
      <c r="J19" s="13">
        <v>2.4</v>
      </c>
      <c r="K19" s="13">
        <v>2.5000000000000001E-2</v>
      </c>
      <c r="L19" s="16">
        <f t="shared" si="0"/>
        <v>0.14399999999999999</v>
      </c>
      <c r="M19" s="13">
        <v>1</v>
      </c>
      <c r="N19" s="13">
        <f t="shared" si="1"/>
        <v>0.14399999999999999</v>
      </c>
      <c r="O19" s="13">
        <v>800</v>
      </c>
      <c r="P19" s="14">
        <f t="shared" ref="P19:P23" si="18">PRODUCT(N19:O19)</f>
        <v>115.19999999999999</v>
      </c>
      <c r="Q19" s="15">
        <f t="shared" si="3"/>
        <v>20</v>
      </c>
      <c r="R19" s="16">
        <v>2.4</v>
      </c>
      <c r="S19" s="17" t="s">
        <v>34</v>
      </c>
      <c r="T19" s="18" t="s">
        <v>159</v>
      </c>
      <c r="U19" s="15">
        <f t="shared" si="16"/>
        <v>13.824</v>
      </c>
      <c r="V19" s="15">
        <f t="shared" si="17"/>
        <v>2.4</v>
      </c>
      <c r="W19" s="13" t="s">
        <v>36</v>
      </c>
      <c r="X19" s="19" t="s">
        <v>39</v>
      </c>
      <c r="Y19" s="20">
        <v>3</v>
      </c>
      <c r="Z19" s="49"/>
      <c r="AA19" s="49"/>
      <c r="AB19" s="49"/>
    </row>
    <row r="20" spans="1:28" ht="39.950000000000003" customHeight="1" x14ac:dyDescent="0.25">
      <c r="A20" s="62" t="s">
        <v>131</v>
      </c>
      <c r="B20" s="62" t="s">
        <v>160</v>
      </c>
      <c r="C20" s="62" t="s">
        <v>65</v>
      </c>
      <c r="D20" s="62" t="s">
        <v>161</v>
      </c>
      <c r="E20" s="62" t="s">
        <v>445</v>
      </c>
      <c r="F20" s="62">
        <v>1</v>
      </c>
      <c r="G20" s="62" t="s">
        <v>32</v>
      </c>
      <c r="H20" s="62" t="s">
        <v>33</v>
      </c>
      <c r="I20" s="62">
        <v>2.4</v>
      </c>
      <c r="J20" s="62">
        <v>2.4</v>
      </c>
      <c r="K20" s="62">
        <v>2.5000000000000001E-2</v>
      </c>
      <c r="L20" s="63">
        <f t="shared" si="0"/>
        <v>0.14399999999999999</v>
      </c>
      <c r="M20" s="62">
        <v>1</v>
      </c>
      <c r="N20" s="62">
        <f t="shared" si="1"/>
        <v>0.14399999999999999</v>
      </c>
      <c r="O20" s="62">
        <v>800</v>
      </c>
      <c r="P20" s="64">
        <f t="shared" si="18"/>
        <v>115.19999999999999</v>
      </c>
      <c r="Q20" s="65">
        <f t="shared" si="3"/>
        <v>20</v>
      </c>
      <c r="R20" s="63">
        <v>2.4</v>
      </c>
      <c r="S20" s="66" t="s">
        <v>34</v>
      </c>
      <c r="T20" s="67" t="s">
        <v>162</v>
      </c>
      <c r="U20" s="65">
        <f t="shared" si="16"/>
        <v>13.824</v>
      </c>
      <c r="V20" s="65">
        <f t="shared" si="17"/>
        <v>2.4</v>
      </c>
      <c r="W20" s="62" t="s">
        <v>68</v>
      </c>
      <c r="X20" s="68" t="s">
        <v>39</v>
      </c>
      <c r="Y20" s="69">
        <v>3</v>
      </c>
      <c r="Z20" s="49"/>
      <c r="AA20" s="49"/>
      <c r="AB20" s="49"/>
    </row>
    <row r="21" spans="1:28" ht="39.950000000000003" customHeight="1" x14ac:dyDescent="0.25">
      <c r="A21" s="62" t="s">
        <v>131</v>
      </c>
      <c r="B21" s="62" t="s">
        <v>160</v>
      </c>
      <c r="C21" s="62" t="s">
        <v>65</v>
      </c>
      <c r="D21" s="62" t="s">
        <v>161</v>
      </c>
      <c r="E21" s="62" t="s">
        <v>445</v>
      </c>
      <c r="F21" s="70">
        <v>3</v>
      </c>
      <c r="G21" s="70" t="s">
        <v>153</v>
      </c>
      <c r="H21" s="62" t="s">
        <v>154</v>
      </c>
      <c r="I21" s="62">
        <v>3.7999999999999999E-2</v>
      </c>
      <c r="J21" s="62">
        <v>2.4</v>
      </c>
      <c r="K21" s="62">
        <v>8.8999999999999996E-2</v>
      </c>
      <c r="L21" s="63">
        <f t="shared" si="0"/>
        <v>8.1167999999999987E-3</v>
      </c>
      <c r="M21" s="62">
        <v>14</v>
      </c>
      <c r="N21" s="62">
        <f t="shared" si="1"/>
        <v>0.11363519999999998</v>
      </c>
      <c r="O21" s="62">
        <v>510</v>
      </c>
      <c r="P21" s="65">
        <f t="shared" si="18"/>
        <v>57.953951999999987</v>
      </c>
      <c r="Q21" s="65">
        <f t="shared" si="3"/>
        <v>10.061449999999999</v>
      </c>
      <c r="R21" s="62">
        <v>0.26300000000000001</v>
      </c>
      <c r="S21" s="68" t="s">
        <v>44</v>
      </c>
      <c r="T21" s="68" t="s">
        <v>155</v>
      </c>
      <c r="U21" s="65">
        <f t="shared" ref="U21:U23" si="19">P21*R21</f>
        <v>15.241889375999998</v>
      </c>
      <c r="V21" s="65">
        <f t="shared" ref="V21:V23" si="20">Q21*R21</f>
        <v>2.6461613499999999</v>
      </c>
      <c r="W21" s="62" t="s">
        <v>68</v>
      </c>
      <c r="X21" s="68" t="s">
        <v>39</v>
      </c>
      <c r="Y21" s="62">
        <v>3</v>
      </c>
      <c r="Z21" s="52"/>
      <c r="AA21" s="52"/>
      <c r="AB21" s="49"/>
    </row>
    <row r="22" spans="1:28" ht="39.950000000000003" customHeight="1" x14ac:dyDescent="0.25">
      <c r="A22" s="62" t="s">
        <v>131</v>
      </c>
      <c r="B22" s="62" t="s">
        <v>160</v>
      </c>
      <c r="C22" s="62" t="s">
        <v>65</v>
      </c>
      <c r="D22" s="62" t="s">
        <v>161</v>
      </c>
      <c r="E22" s="62" t="s">
        <v>445</v>
      </c>
      <c r="F22" s="70">
        <v>4</v>
      </c>
      <c r="G22" s="70" t="s">
        <v>75</v>
      </c>
      <c r="H22" s="62" t="s">
        <v>156</v>
      </c>
      <c r="I22" s="62">
        <v>3.7999999999999999E-2</v>
      </c>
      <c r="J22" s="62">
        <v>2.4</v>
      </c>
      <c r="K22" s="62">
        <v>8.8999999999999996E-2</v>
      </c>
      <c r="L22" s="63">
        <f t="shared" si="0"/>
        <v>8.1167999999999987E-3</v>
      </c>
      <c r="M22" s="62">
        <v>4</v>
      </c>
      <c r="N22" s="62">
        <f t="shared" si="1"/>
        <v>3.2467199999999995E-2</v>
      </c>
      <c r="O22" s="62">
        <v>510</v>
      </c>
      <c r="P22" s="65">
        <f t="shared" si="18"/>
        <v>16.558271999999999</v>
      </c>
      <c r="Q22" s="65">
        <f t="shared" si="3"/>
        <v>2.8746999999999998</v>
      </c>
      <c r="R22" s="62">
        <v>0.26300000000000001</v>
      </c>
      <c r="S22" s="68" t="s">
        <v>44</v>
      </c>
      <c r="T22" s="68" t="s">
        <v>155</v>
      </c>
      <c r="U22" s="65">
        <f t="shared" si="19"/>
        <v>4.3548255359999999</v>
      </c>
      <c r="V22" s="65">
        <f t="shared" si="20"/>
        <v>0.75604609999999994</v>
      </c>
      <c r="W22" s="62" t="s">
        <v>68</v>
      </c>
      <c r="X22" s="68" t="s">
        <v>39</v>
      </c>
      <c r="Y22" s="62">
        <v>3</v>
      </c>
      <c r="Z22" s="52"/>
      <c r="AA22" s="52"/>
      <c r="AB22" s="49"/>
    </row>
    <row r="23" spans="1:28" ht="39.950000000000003" customHeight="1" x14ac:dyDescent="0.25">
      <c r="A23" s="62" t="s">
        <v>131</v>
      </c>
      <c r="B23" s="62" t="s">
        <v>160</v>
      </c>
      <c r="C23" s="62" t="s">
        <v>65</v>
      </c>
      <c r="D23" s="62" t="s">
        <v>161</v>
      </c>
      <c r="E23" s="62" t="s">
        <v>445</v>
      </c>
      <c r="F23" s="70">
        <v>5</v>
      </c>
      <c r="G23" s="70" t="s">
        <v>49</v>
      </c>
      <c r="H23" s="62" t="s">
        <v>157</v>
      </c>
      <c r="I23" s="62">
        <v>3.7999999999999999E-2</v>
      </c>
      <c r="J23" s="62">
        <v>2.2000000000000002</v>
      </c>
      <c r="K23" s="62">
        <v>8.8999999999999996E-2</v>
      </c>
      <c r="L23" s="63">
        <f t="shared" si="0"/>
        <v>7.4404000000000007E-3</v>
      </c>
      <c r="M23" s="62">
        <v>2</v>
      </c>
      <c r="N23" s="62">
        <f t="shared" si="1"/>
        <v>1.4880800000000001E-2</v>
      </c>
      <c r="O23" s="62">
        <v>510</v>
      </c>
      <c r="P23" s="65">
        <f t="shared" si="18"/>
        <v>7.5892080000000011</v>
      </c>
      <c r="Q23" s="65">
        <f t="shared" si="3"/>
        <v>1.3175708333333336</v>
      </c>
      <c r="R23" s="62">
        <v>0.26300000000000001</v>
      </c>
      <c r="S23" s="68" t="s">
        <v>44</v>
      </c>
      <c r="T23" s="68" t="s">
        <v>155</v>
      </c>
      <c r="U23" s="65">
        <f t="shared" si="19"/>
        <v>1.9959617040000004</v>
      </c>
      <c r="V23" s="65">
        <f t="shared" si="20"/>
        <v>0.34652112916666672</v>
      </c>
      <c r="W23" s="62" t="s">
        <v>68</v>
      </c>
      <c r="X23" s="68" t="s">
        <v>39</v>
      </c>
      <c r="Y23" s="62">
        <v>3</v>
      </c>
      <c r="Z23" s="52"/>
      <c r="AA23" s="52"/>
      <c r="AB23" s="49"/>
    </row>
    <row r="24" spans="1:28" ht="39.950000000000003" customHeight="1" x14ac:dyDescent="0.25">
      <c r="A24" s="62" t="s">
        <v>131</v>
      </c>
      <c r="B24" s="62" t="s">
        <v>160</v>
      </c>
      <c r="C24" s="62" t="s">
        <v>65</v>
      </c>
      <c r="D24" s="62" t="s">
        <v>161</v>
      </c>
      <c r="E24" s="62" t="s">
        <v>445</v>
      </c>
      <c r="F24" s="62">
        <v>6</v>
      </c>
      <c r="G24" s="62" t="s">
        <v>141</v>
      </c>
      <c r="H24" s="62" t="s">
        <v>56</v>
      </c>
      <c r="I24" s="62">
        <v>2.4</v>
      </c>
      <c r="J24" s="62">
        <v>2.4</v>
      </c>
      <c r="K24" s="62">
        <v>0.09</v>
      </c>
      <c r="L24" s="63">
        <f t="shared" si="0"/>
        <v>0.51839999999999997</v>
      </c>
      <c r="M24" s="62">
        <v>1</v>
      </c>
      <c r="N24" s="62">
        <f t="shared" si="1"/>
        <v>0.51839999999999997</v>
      </c>
      <c r="O24" s="62">
        <v>22</v>
      </c>
      <c r="P24" s="64">
        <f>N24*O24</f>
        <v>11.4048</v>
      </c>
      <c r="Q24" s="65">
        <f t="shared" si="3"/>
        <v>1.98</v>
      </c>
      <c r="R24" s="63">
        <v>3.42</v>
      </c>
      <c r="S24" s="66" t="s">
        <v>34</v>
      </c>
      <c r="T24" s="67" t="s">
        <v>163</v>
      </c>
      <c r="U24" s="65">
        <f t="shared" ref="U24:U25" si="21">R24*5.76</f>
        <v>19.699199999999998</v>
      </c>
      <c r="V24" s="65">
        <f t="shared" ref="V24:V25" si="22">R24</f>
        <v>3.42</v>
      </c>
      <c r="W24" s="62" t="s">
        <v>68</v>
      </c>
      <c r="X24" s="68" t="s">
        <v>39</v>
      </c>
      <c r="Y24" s="69">
        <v>3</v>
      </c>
      <c r="Z24" s="49"/>
      <c r="AA24" s="49"/>
      <c r="AB24" s="49"/>
    </row>
    <row r="25" spans="1:28" ht="39.950000000000003" customHeight="1" x14ac:dyDescent="0.25">
      <c r="A25" s="62" t="s">
        <v>131</v>
      </c>
      <c r="B25" s="62" t="s">
        <v>160</v>
      </c>
      <c r="C25" s="62" t="s">
        <v>65</v>
      </c>
      <c r="D25" s="62" t="s">
        <v>161</v>
      </c>
      <c r="E25" s="62" t="s">
        <v>445</v>
      </c>
      <c r="F25" s="62">
        <v>7</v>
      </c>
      <c r="G25" s="62" t="s">
        <v>32</v>
      </c>
      <c r="H25" s="62" t="s">
        <v>33</v>
      </c>
      <c r="I25" s="62">
        <v>2.4</v>
      </c>
      <c r="J25" s="62">
        <v>2.4</v>
      </c>
      <c r="K25" s="62">
        <v>2.5000000000000001E-2</v>
      </c>
      <c r="L25" s="63">
        <f t="shared" si="0"/>
        <v>0.14399999999999999</v>
      </c>
      <c r="M25" s="62">
        <v>1</v>
      </c>
      <c r="N25" s="62">
        <f t="shared" si="1"/>
        <v>0.14399999999999999</v>
      </c>
      <c r="O25" s="62">
        <v>800</v>
      </c>
      <c r="P25" s="64">
        <f>PRODUCT(N25:O25)</f>
        <v>115.19999999999999</v>
      </c>
      <c r="Q25" s="65">
        <f t="shared" si="3"/>
        <v>20</v>
      </c>
      <c r="R25" s="63">
        <v>2.4</v>
      </c>
      <c r="S25" s="66" t="s">
        <v>34</v>
      </c>
      <c r="T25" s="67" t="s">
        <v>164</v>
      </c>
      <c r="U25" s="65">
        <f t="shared" si="21"/>
        <v>13.824</v>
      </c>
      <c r="V25" s="65">
        <f t="shared" si="22"/>
        <v>2.4</v>
      </c>
      <c r="W25" s="62" t="s">
        <v>68</v>
      </c>
      <c r="X25" s="68" t="s">
        <v>39</v>
      </c>
      <c r="Y25" s="69">
        <v>3</v>
      </c>
      <c r="Z25" s="49"/>
      <c r="AA25" s="49"/>
      <c r="AB25" s="49"/>
    </row>
    <row r="26" spans="1:28" ht="39.950000000000003" customHeight="1" x14ac:dyDescent="0.25">
      <c r="A26" s="71" t="s">
        <v>131</v>
      </c>
      <c r="B26" s="71" t="s">
        <v>165</v>
      </c>
      <c r="C26" s="71" t="s">
        <v>90</v>
      </c>
      <c r="D26" s="71" t="s">
        <v>166</v>
      </c>
      <c r="E26" s="71" t="s">
        <v>445</v>
      </c>
      <c r="F26" s="71">
        <v>1</v>
      </c>
      <c r="G26" s="71" t="s">
        <v>92</v>
      </c>
      <c r="H26" s="71" t="s">
        <v>167</v>
      </c>
      <c r="I26" s="23">
        <v>2.4</v>
      </c>
      <c r="J26" s="23">
        <v>2.4</v>
      </c>
      <c r="K26" s="23">
        <v>0.1</v>
      </c>
      <c r="L26" s="22"/>
      <c r="M26" s="22"/>
      <c r="N26" s="25">
        <f t="shared" ref="N26:N27" si="23">I26*J26*K26</f>
        <v>0.57599999999999996</v>
      </c>
      <c r="O26" s="26">
        <v>25</v>
      </c>
      <c r="P26" s="27">
        <f t="shared" ref="P26:P27" si="24">N26*O26</f>
        <v>14.399999999999999</v>
      </c>
      <c r="Q26" s="27">
        <f t="shared" si="3"/>
        <v>2.5</v>
      </c>
      <c r="R26" s="22">
        <v>3.69</v>
      </c>
      <c r="S26" s="23" t="s">
        <v>44</v>
      </c>
      <c r="T26" s="28" t="s">
        <v>168</v>
      </c>
      <c r="U26" s="29">
        <f t="shared" ref="U26:U29" si="25">P26*R26</f>
        <v>53.135999999999996</v>
      </c>
      <c r="V26" s="31">
        <f t="shared" ref="V26:V29" si="26">Q26*R26</f>
        <v>9.2249999999999996</v>
      </c>
      <c r="W26" s="22" t="s">
        <v>169</v>
      </c>
      <c r="X26" s="23" t="s">
        <v>39</v>
      </c>
      <c r="Y26" s="30">
        <v>5</v>
      </c>
      <c r="Z26" s="52"/>
    </row>
    <row r="27" spans="1:28" ht="39.950000000000003" customHeight="1" x14ac:dyDescent="0.25">
      <c r="A27" s="71" t="s">
        <v>131</v>
      </c>
      <c r="B27" s="71" t="s">
        <v>165</v>
      </c>
      <c r="C27" s="71" t="s">
        <v>90</v>
      </c>
      <c r="D27" s="71" t="s">
        <v>170</v>
      </c>
      <c r="E27" s="71" t="s">
        <v>445</v>
      </c>
      <c r="F27" s="71">
        <v>2</v>
      </c>
      <c r="G27" s="71" t="s">
        <v>98</v>
      </c>
      <c r="H27" s="71" t="s">
        <v>99</v>
      </c>
      <c r="I27" s="23">
        <v>2.4</v>
      </c>
      <c r="J27" s="23">
        <v>2.4</v>
      </c>
      <c r="K27" s="23">
        <v>0.15</v>
      </c>
      <c r="L27" s="71"/>
      <c r="M27" s="71"/>
      <c r="N27" s="25">
        <f t="shared" si="23"/>
        <v>0.86399999999999999</v>
      </c>
      <c r="O27" s="23">
        <v>2400</v>
      </c>
      <c r="P27" s="27">
        <f t="shared" si="24"/>
        <v>2073.6</v>
      </c>
      <c r="Q27" s="27">
        <f t="shared" si="3"/>
        <v>360</v>
      </c>
      <c r="R27" s="22">
        <v>0.10299999999999999</v>
      </c>
      <c r="S27" s="23" t="s">
        <v>44</v>
      </c>
      <c r="T27" s="28" t="s">
        <v>171</v>
      </c>
      <c r="U27" s="29">
        <f t="shared" si="25"/>
        <v>213.58079999999998</v>
      </c>
      <c r="V27" s="31">
        <f t="shared" si="26"/>
        <v>37.08</v>
      </c>
      <c r="W27" s="22" t="s">
        <v>169</v>
      </c>
      <c r="X27" s="23" t="s">
        <v>39</v>
      </c>
      <c r="Y27" s="30">
        <v>5</v>
      </c>
      <c r="Z27" s="52"/>
    </row>
    <row r="28" spans="1:28" ht="39.950000000000003" customHeight="1" x14ac:dyDescent="0.25">
      <c r="A28" s="71" t="s">
        <v>131</v>
      </c>
      <c r="B28" s="71" t="s">
        <v>165</v>
      </c>
      <c r="C28" s="71" t="s">
        <v>90</v>
      </c>
      <c r="D28" s="71" t="s">
        <v>170</v>
      </c>
      <c r="E28" s="71" t="s">
        <v>445</v>
      </c>
      <c r="F28" s="71">
        <v>3</v>
      </c>
      <c r="G28" s="71" t="s">
        <v>101</v>
      </c>
      <c r="H28" s="71" t="s">
        <v>102</v>
      </c>
      <c r="I28" s="22"/>
      <c r="J28" s="22"/>
      <c r="K28" s="22"/>
      <c r="L28" s="71"/>
      <c r="M28" s="71"/>
      <c r="N28" s="25"/>
      <c r="O28" s="32"/>
      <c r="P28" s="27">
        <v>41.47</v>
      </c>
      <c r="Q28" s="27">
        <f t="shared" si="3"/>
        <v>7.1996527777777777</v>
      </c>
      <c r="R28" s="22">
        <v>1.72</v>
      </c>
      <c r="S28" s="23" t="s">
        <v>44</v>
      </c>
      <c r="T28" s="28" t="s">
        <v>172</v>
      </c>
      <c r="U28" s="29">
        <f t="shared" si="25"/>
        <v>71.328400000000002</v>
      </c>
      <c r="V28" s="31">
        <f t="shared" si="26"/>
        <v>12.383402777777777</v>
      </c>
      <c r="W28" s="22" t="s">
        <v>169</v>
      </c>
      <c r="X28" s="23" t="s">
        <v>39</v>
      </c>
      <c r="Y28" s="30">
        <v>5</v>
      </c>
      <c r="Z28" s="52"/>
    </row>
    <row r="29" spans="1:28" ht="39.950000000000003" customHeight="1" x14ac:dyDescent="0.25">
      <c r="A29" s="71" t="s">
        <v>131</v>
      </c>
      <c r="B29" s="71" t="s">
        <v>165</v>
      </c>
      <c r="C29" s="71" t="s">
        <v>90</v>
      </c>
      <c r="D29" s="71" t="s">
        <v>170</v>
      </c>
      <c r="E29" s="71" t="s">
        <v>445</v>
      </c>
      <c r="F29" s="71">
        <v>4</v>
      </c>
      <c r="G29" s="71" t="s">
        <v>104</v>
      </c>
      <c r="H29" s="71" t="s">
        <v>105</v>
      </c>
      <c r="I29" s="22"/>
      <c r="J29" s="22"/>
      <c r="K29" s="22"/>
      <c r="L29" s="71"/>
      <c r="M29" s="71"/>
      <c r="N29" s="25"/>
      <c r="O29" s="32"/>
      <c r="P29" s="27">
        <v>5</v>
      </c>
      <c r="Q29" s="27">
        <f t="shared" si="3"/>
        <v>0.86805555555555558</v>
      </c>
      <c r="R29" s="22">
        <v>1.85</v>
      </c>
      <c r="S29" s="23" t="s">
        <v>44</v>
      </c>
      <c r="T29" s="23"/>
      <c r="U29" s="29">
        <f t="shared" si="25"/>
        <v>9.25</v>
      </c>
      <c r="V29" s="31">
        <f t="shared" si="26"/>
        <v>1.6059027777777779</v>
      </c>
      <c r="W29" s="22" t="s">
        <v>95</v>
      </c>
      <c r="X29" s="23" t="s">
        <v>39</v>
      </c>
      <c r="Y29" s="30">
        <v>5</v>
      </c>
      <c r="Z29" s="52"/>
    </row>
    <row r="30" spans="1:28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72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</row>
    <row r="31" spans="1:28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72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 spans="1:28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72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spans="1:28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72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 spans="1:28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72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 spans="1:28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72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spans="1:28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72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spans="1:28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72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spans="1:28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72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 spans="1:28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72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spans="1:28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72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 spans="1:28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72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 spans="1:28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72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 spans="1:28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72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 spans="1:28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72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 spans="1:28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72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spans="1:28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72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 spans="1:28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72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 spans="1:28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72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 spans="1:28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72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 spans="1:28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72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 spans="1:28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72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 spans="1:28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72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 spans="1:28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72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 spans="1:28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72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 spans="1:28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72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 spans="1:28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72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 spans="1:28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72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 spans="1:28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72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 spans="1:28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72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 spans="1:28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72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 spans="1:28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72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 spans="1:28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72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 spans="1:28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72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 spans="1:28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72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 spans="1:28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72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 spans="1:28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72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 spans="1:28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72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 spans="1:28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72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 spans="1:28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72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 spans="1:28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72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 spans="1:28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72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 spans="1:28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72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 spans="1:28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72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 spans="1:28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72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 spans="1:28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72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 spans="1:28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72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 spans="1:28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72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 spans="1:28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72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 spans="1:28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72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 spans="1:28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72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 spans="1:28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72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 spans="1:28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72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 spans="1:28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72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 spans="1:28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72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 spans="1:28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72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 spans="1:28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72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 spans="1:28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72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 spans="1:28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72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 spans="1:28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72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 spans="1:28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72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 spans="1:28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72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 spans="1:28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72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 spans="1:28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72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 spans="1:28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72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spans="1:28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72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 spans="1:28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72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 spans="1:28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72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 spans="1:28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72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 spans="1:28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72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 spans="1:28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72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 spans="1:28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72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 spans="1:28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72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 spans="1:28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72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 spans="1:28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72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 spans="1:28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72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 spans="1:28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72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 spans="1:28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72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 spans="1:28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72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 spans="1:28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72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 spans="1:28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72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 spans="1:28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72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 spans="1:28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72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 spans="1:28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72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 spans="1:28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72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 spans="1:28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72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 spans="1:28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72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 spans="1:28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72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 spans="1:28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72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 spans="1:28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72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 spans="1:28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72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 spans="1:28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72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 spans="1:28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72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 spans="1:28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72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 spans="1:28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72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 spans="1:28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72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 spans="1:28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72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 spans="1:28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72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 spans="1:28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72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 spans="1:28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72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 spans="1:28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72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 spans="1:28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72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 spans="1:28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72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 spans="1:28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72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 spans="1:28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72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 spans="1:28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72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 spans="1:28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72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 spans="1:28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72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 spans="1:28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72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 spans="1:28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72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 spans="1:28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72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 spans="1:28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72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 spans="1:28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72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 spans="1:28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72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 spans="1:28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72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 spans="1:28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72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 spans="1:28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72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 spans="1:28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72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 spans="1:28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72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 spans="1:28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72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 spans="1:28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72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 spans="1:28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72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 spans="1:28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72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 spans="1:28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72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 spans="1:28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72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 spans="1:28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72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 spans="1:28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72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 spans="1:28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72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 spans="1:28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72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 spans="1:28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72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 spans="1:28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72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 spans="1:28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72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 spans="1:28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72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 spans="1:28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72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 spans="1:28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72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 spans="1:28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72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 spans="1:28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72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 spans="1:28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72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 spans="1:28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72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 spans="1:28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72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 spans="1:28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72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 spans="1:28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72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 spans="1:28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72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 spans="1:28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72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 spans="1:28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72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 spans="1:28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72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 spans="1:28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72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 spans="1:28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72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 spans="1:28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72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 spans="1:28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72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 spans="1:28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72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 spans="1:28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72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 spans="1:28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72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 spans="1:28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72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 spans="1:28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72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 spans="1:28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72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 spans="1:28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72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 spans="1:28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72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 spans="1:28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72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 spans="1:28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72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 spans="1:28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72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 spans="1:28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72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 spans="1:28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72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 spans="1:28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72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 spans="1:28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72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 spans="1:28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72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 spans="1:28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72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 spans="1:28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72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 spans="1:28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72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 spans="1:28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72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 spans="1:28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72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 spans="1:28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72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 spans="1:28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72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 spans="1:28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72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 spans="1:28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72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 spans="1:28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72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 spans="1:28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72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 spans="1:28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72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 spans="1:28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72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 spans="1:28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72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 spans="1:28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72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 spans="1:28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72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 spans="1:28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72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 spans="1:28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72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 spans="1:28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72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 spans="1:28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72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 spans="1:28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72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 spans="1:28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72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 spans="1:28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72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 spans="1:28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72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 spans="1:28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72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 spans="1:28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72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 spans="1:28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72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 spans="1:28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72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 spans="1:28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72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 spans="1:28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72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 spans="1:28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72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 spans="1:28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72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 spans="1:28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72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 spans="1:28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72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 spans="1:28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72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 spans="1:28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72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 spans="1:28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72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 spans="1:28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72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</row>
    <row r="234" spans="1:28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72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</row>
    <row r="235" spans="1:28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72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</row>
    <row r="236" spans="1:28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72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</row>
    <row r="237" spans="1:28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72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</row>
    <row r="238" spans="1:28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72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</row>
    <row r="239" spans="1:28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72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</row>
    <row r="240" spans="1:28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72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</row>
    <row r="241" spans="1:28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72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</row>
    <row r="242" spans="1:28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72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</row>
    <row r="243" spans="1:28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72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</row>
    <row r="244" spans="1:28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72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</row>
    <row r="245" spans="1:28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72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</row>
    <row r="246" spans="1:28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72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</row>
    <row r="247" spans="1:28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72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</row>
    <row r="248" spans="1:28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72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</row>
    <row r="249" spans="1:28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72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</row>
    <row r="250" spans="1:28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72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</row>
    <row r="251" spans="1:28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72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</row>
    <row r="252" spans="1:28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72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</row>
    <row r="253" spans="1:28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72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</row>
    <row r="254" spans="1:28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72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</row>
    <row r="255" spans="1:28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72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</row>
    <row r="256" spans="1:28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72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</row>
    <row r="257" spans="1:28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72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</row>
    <row r="258" spans="1:28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72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</row>
    <row r="259" spans="1:28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72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</row>
    <row r="260" spans="1:28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72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</row>
    <row r="261" spans="1:28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72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 spans="1:28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72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 spans="1:28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72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 spans="1:28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72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 spans="1:28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72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 spans="1:28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72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 spans="1:28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72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 spans="1:28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72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 spans="1:28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72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 spans="1:28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72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 spans="1:28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72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</row>
    <row r="272" spans="1:28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72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 spans="1:28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72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 spans="1:28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72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 spans="1:28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72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 spans="1:28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72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 spans="1:28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72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 spans="1:28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72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 spans="1:28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72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 spans="1:28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72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 spans="1:28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72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 spans="1:28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72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 spans="1:28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72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 spans="1:28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72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 spans="1:28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72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 spans="1:28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72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 spans="1:28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72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 spans="1:28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72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 spans="1:28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72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 spans="1:28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72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 spans="1:28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72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 spans="1:28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72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 spans="1:28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72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 spans="1:28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72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 spans="1:28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72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 spans="1:28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72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 spans="1:28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72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 spans="1:28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72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 spans="1:28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72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 spans="1:28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72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 spans="1:28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72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 spans="1:28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72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 spans="1:28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72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 spans="1:28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72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 spans="1:28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72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 spans="1:28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72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 spans="1:28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72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 spans="1:28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72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 spans="1:28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72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 spans="1:28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72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 spans="1:28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72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 spans="1:28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72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 spans="1:28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72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 spans="1:28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72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 spans="1:28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72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 spans="1:28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72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 spans="1:28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72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 spans="1:28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72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 spans="1:28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72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 spans="1:28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72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 spans="1:28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72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 spans="1:28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72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 spans="1:28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72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spans="1:28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72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 spans="1:28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72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 spans="1:28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72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 spans="1:28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72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 spans="1:28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72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 spans="1:28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72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 spans="1:28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72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 spans="1:28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72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 spans="1:28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72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 spans="1:28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72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 spans="1:28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72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 spans="1:28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72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 spans="1:28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72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 spans="1:28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72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 spans="1:28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72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 spans="1:28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72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 spans="1:28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72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 spans="1:28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72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 spans="1:28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72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 spans="1:28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72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 spans="1:28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72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 spans="1:28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72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 spans="1:28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72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 spans="1:28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72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 spans="1:28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72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 spans="1:28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72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 spans="1:28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72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 spans="1:28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72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 spans="1:28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72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 spans="1:28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72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 spans="1:28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72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 spans="1:28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72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 spans="1:28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72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 spans="1:28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72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 spans="1:28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72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 spans="1:28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72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 spans="1:28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72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 spans="1:28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72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 spans="1:28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72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 spans="1:28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72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 spans="1:28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72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 spans="1:28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72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 spans="1:28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72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 spans="1:28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72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 spans="1:28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72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 spans="1:28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72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 spans="1:28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72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 spans="1:28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72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 spans="1:28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72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 spans="1:28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72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 spans="1:28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72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 spans="1:28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72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 spans="1:28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72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 spans="1:28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72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 spans="1:28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72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 spans="1:28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72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 spans="1:28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72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 spans="1:28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72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 spans="1:28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72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 spans="1:28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72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 spans="1:28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72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 spans="1:28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72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 spans="1:28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72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 spans="1:28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72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 spans="1:28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72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 spans="1:28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72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 spans="1:28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72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 spans="1:28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72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 spans="1:28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72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 spans="1:28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72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 spans="1:28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72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 spans="1:28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72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 spans="1:28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72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 spans="1:28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72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 spans="1:28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72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 spans="1:28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72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 spans="1:28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72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 spans="1:28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72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 spans="1:28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72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 spans="1:28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72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 spans="1:28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72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 spans="1:28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72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 spans="1:28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72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 spans="1:28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72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 spans="1:28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72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 spans="1:28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72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 spans="1:28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72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 spans="1:28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72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 spans="1:28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72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 spans="1:28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72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 spans="1:28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72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 spans="1:28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72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 spans="1:28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72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 spans="1:28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72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 spans="1:28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72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 spans="1:28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72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 spans="1:28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72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 spans="1:28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72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 spans="1:28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72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 spans="1:28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72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 spans="1:28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72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 spans="1:28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72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 spans="1:28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72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 spans="1:28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72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 spans="1:28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72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 spans="1:28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72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 spans="1:28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72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 spans="1:28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72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 spans="1:28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72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 spans="1:28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72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 spans="1:28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72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 spans="1:28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72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 spans="1:28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72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 spans="1:28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72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 spans="1:28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72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 spans="1:28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72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 spans="1:28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72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 spans="1:28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72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 spans="1:28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72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 spans="1:28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72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 spans="1:28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72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 spans="1:28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72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 spans="1:28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72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 spans="1:28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72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 spans="1:28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72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 spans="1:28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72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 spans="1:28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72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 spans="1:28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72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 spans="1:28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72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 spans="1:28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72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 spans="1:28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72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 spans="1:28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72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 spans="1:28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72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 spans="1:28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72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 spans="1:28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72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 spans="1:28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72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 spans="1:28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72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 spans="1:28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72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 spans="1:28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72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 spans="1:28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72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 spans="1:28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72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 spans="1:28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72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 spans="1:28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72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 spans="1:28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72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 spans="1:28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72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 spans="1:28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72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 spans="1:28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72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 spans="1:28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72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 spans="1:28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72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 spans="1:28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72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 spans="1:28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72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 spans="1:28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72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 spans="1:28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72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 spans="1:28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72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 spans="1:28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72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 spans="1:28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72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 spans="1:28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72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 spans="1:28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72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 spans="1:28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72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 spans="1:28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72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 spans="1:28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72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 spans="1:28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72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 spans="1:28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72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 spans="1:28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72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 spans="1:28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72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 spans="1:28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72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 spans="1:28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72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 spans="1:28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72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 spans="1:28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72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 spans="1:28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72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 spans="1:28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72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 spans="1:28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72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 spans="1:28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72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 spans="1:28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72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 spans="1:28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72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 spans="1:28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72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 spans="1:28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72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 spans="1:28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72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 spans="1:28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72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 spans="1:28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72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 spans="1:28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72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 spans="1:28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72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 spans="1:28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72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 spans="1:28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72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 spans="1:28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72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 spans="1:28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72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 spans="1:28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72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 spans="1:28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72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 spans="1:28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72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 spans="1:28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72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 spans="1:28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72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 spans="1:28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72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 spans="1:28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72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 spans="1:28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72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 spans="1:28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72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 spans="1:28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72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 spans="1:28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72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 spans="1:28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72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 spans="1:28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72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 spans="1:28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72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 spans="1:28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72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 spans="1:28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72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 spans="1:28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72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 spans="1:28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72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 spans="1:28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72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 spans="1:28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72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 spans="1:28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72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 spans="1:28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72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 spans="1:28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72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 spans="1:28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72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 spans="1:28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72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 spans="1:28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72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 spans="1:28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72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 spans="1:28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72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 spans="1:28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72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 spans="1:28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72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 spans="1:28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72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 spans="1:28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72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 spans="1:28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72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 spans="1:28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72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 spans="1:28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72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 spans="1:28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72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 spans="1:28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72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 spans="1:28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72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 spans="1:28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72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 spans="1:28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72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 spans="1:28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72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 spans="1:28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72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 spans="1:28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72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 spans="1:28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72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 spans="1:28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72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 spans="1:28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72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 spans="1:28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72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 spans="1:28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72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 spans="1:28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72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 spans="1:28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72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 spans="1:28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72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 spans="1:28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72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 spans="1:28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72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 spans="1:28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72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 spans="1:28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72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 spans="1:28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72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 spans="1:28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72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 spans="1:28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72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 spans="1:28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72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 spans="1:28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72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 spans="1:28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72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 spans="1:28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72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 spans="1:28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72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 spans="1:28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72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 spans="1:28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72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 spans="1:28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72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 spans="1:28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72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 spans="1:28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72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 spans="1:28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72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 spans="1:28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72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 spans="1:28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72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 spans="1:28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72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 spans="1:28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72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 spans="1:28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72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 spans="1:28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72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 spans="1:28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72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 spans="1:28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72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 spans="1:28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72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 spans="1:28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72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 spans="1:28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72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 spans="1:28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72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 spans="1:28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72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 spans="1:28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72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 spans="1:28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72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 spans="1:28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72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 spans="1:28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72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 spans="1:28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72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 spans="1:28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72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 spans="1:28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72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 spans="1:28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72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 spans="1:28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72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 spans="1:28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72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 spans="1:28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72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 spans="1:28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72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 spans="1:28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72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 spans="1:28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72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 spans="1:28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72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 spans="1:28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72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 spans="1:28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72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 spans="1:28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72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 spans="1:28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72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 spans="1:28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72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 spans="1:28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72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 spans="1:28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72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 spans="1:28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72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 spans="1:28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72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 spans="1:28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72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 spans="1:28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72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 spans="1:28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72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 spans="1:28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72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 spans="1:28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72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 spans="1:28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72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 spans="1:28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72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 spans="1:28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72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 spans="1:28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72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 spans="1:28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72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 spans="1:28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72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 spans="1:28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72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 spans="1:28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72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 spans="1:28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72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 spans="1:28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72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 spans="1:28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72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 spans="1:28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72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 spans="1:28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72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 spans="1:28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72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 spans="1:28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72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 spans="1:28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72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 spans="1:28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72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 spans="1:28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72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 spans="1:28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72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 spans="1:28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72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 spans="1:28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72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 spans="1:28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72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 spans="1:28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72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 spans="1:28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72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 spans="1:28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72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 spans="1:28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72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 spans="1:28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72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 spans="1:28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72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 spans="1:28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72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 spans="1:28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72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 spans="1:28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72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 spans="1:28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72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 spans="1:28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72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 spans="1:28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72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 spans="1:28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72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 spans="1:28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72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 spans="1:28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72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 spans="1:28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72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 spans="1:28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72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 spans="1:28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72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 spans="1:28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72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 spans="1:28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72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 spans="1:28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72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 spans="1:28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72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 spans="1:28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72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 spans="1:28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72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 spans="1:28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72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 spans="1:28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72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 spans="1:28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72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 spans="1:28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72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 spans="1:28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72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 spans="1:28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72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 spans="1:28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72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 spans="1:28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72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 spans="1:28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72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 spans="1:28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72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 spans="1:28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72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 spans="1:28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72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 spans="1:28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72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 spans="1:28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72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 spans="1:28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72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 spans="1:28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72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 spans="1:28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72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 spans="1:28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72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 spans="1:28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72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 spans="1:28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72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 spans="1:28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72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 spans="1:28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72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 spans="1:28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72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 spans="1:28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72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 spans="1:28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72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 spans="1:28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72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 spans="1:28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72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 spans="1:28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72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 spans="1:28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72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 spans="1:28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72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 spans="1:28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72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 spans="1:28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72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 spans="1:28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72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 spans="1:28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72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 spans="1:28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72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 spans="1:28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72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 spans="1:28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72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 spans="1:28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72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 spans="1:28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72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 spans="1:28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72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 spans="1:28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72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 spans="1:28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72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 spans="1:28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72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 spans="1:28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72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 spans="1:28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72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 spans="1:28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72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 spans="1:28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72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 spans="1:28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72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 spans="1:28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72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 spans="1:28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72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 spans="1:28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72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 spans="1:28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72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 spans="1:28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72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 spans="1:28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72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 spans="1:28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72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 spans="1:28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72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 spans="1:28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72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 spans="1:28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72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 spans="1:28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72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 spans="1:28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72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 spans="1:28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72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 spans="1:28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72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 spans="1:28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72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 spans="1:28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72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 spans="1:28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72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 spans="1:28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72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 spans="1:28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72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 spans="1:28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72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 spans="1:28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72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 spans="1:28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72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 spans="1:28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72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 spans="1:28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72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 spans="1:28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72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 spans="1:28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72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 spans="1:28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72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 spans="1:28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72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 spans="1:28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72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 spans="1:28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72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 spans="1:28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72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 spans="1:28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72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 spans="1:28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72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 spans="1:28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72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 spans="1:28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72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 spans="1:28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72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 spans="1:28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72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 spans="1:28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72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 spans="1:28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72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 spans="1:28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72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 spans="1:28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72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 spans="1:28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72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 spans="1:28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72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 spans="1:28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72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 spans="1:28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72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 spans="1:28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72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 spans="1:28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72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 spans="1:28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72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 spans="1:28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72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 spans="1:28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72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 spans="1:28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72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 spans="1:28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72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 spans="1:28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72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 spans="1:28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72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 spans="1:28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72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 spans="1:28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72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 spans="1:28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72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 spans="1:28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72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 spans="1:28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72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 spans="1:28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72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 spans="1:28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72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 spans="1:28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72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 spans="1:28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72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 spans="1:28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72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 spans="1:28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72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 spans="1:28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72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 spans="1:28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72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 spans="1:28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72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 spans="1:28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72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 spans="1:28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72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 spans="1:28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72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 spans="1:28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72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 spans="1:28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72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 spans="1:28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72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 spans="1:28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72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 spans="1:28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72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 spans="1:28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72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 spans="1:28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72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 spans="1:28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72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 spans="1:28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72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 spans="1:28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72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 spans="1:28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72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 spans="1:28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72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 spans="1:28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72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 spans="1:28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72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 spans="1:28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72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 spans="1:28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72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 spans="1:28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72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 spans="1:28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72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 spans="1:28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72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 spans="1:28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72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 spans="1:28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72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 spans="1:28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72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 spans="1:28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72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 spans="1:28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72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 spans="1:28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72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 spans="1:28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72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 spans="1:28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72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 spans="1:28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72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 spans="1:28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72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 spans="1:28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72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 spans="1:28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72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 spans="1:28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72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 spans="1:28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72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 spans="1:28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72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 spans="1:28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72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 spans="1:28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72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 spans="1:28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72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 spans="1:28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72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 spans="1:28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72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 spans="1:28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72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 spans="1:28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72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 spans="1:28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72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 spans="1:28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72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 spans="1:28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72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 spans="1:28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72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 spans="1:28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72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 spans="1:28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72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 spans="1:28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72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 spans="1:28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72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 spans="1:28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72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 spans="1:28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72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 spans="1:28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72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 spans="1:28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72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 spans="1:28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72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 spans="1:28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72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 spans="1:28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72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 spans="1:28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72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 spans="1:28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72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 spans="1:28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72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 spans="1:28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72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 spans="1:28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72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 spans="1:28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72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 spans="1:28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72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 spans="1:28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72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 spans="1:28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72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 spans="1:28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72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 spans="1:28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72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 spans="1:28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72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 spans="1:28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72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 spans="1:28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72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 spans="1:28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72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 spans="1:28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72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 spans="1:28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72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 spans="1:28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72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 spans="1:28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72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 spans="1:28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72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 spans="1:28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72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 spans="1:28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72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 spans="1:28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72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 spans="1:28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72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 spans="1:28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72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 spans="1:28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72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 spans="1:28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72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 spans="1:28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72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 spans="1:28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72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 spans="1:28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72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 spans="1:28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72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 spans="1:28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72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 spans="1:28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72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 spans="1:28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72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 spans="1:28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72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 spans="1:28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72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 spans="1:28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72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 spans="1:28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72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 spans="1:28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72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 spans="1:28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72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 spans="1:28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72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 spans="1:28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72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 spans="1:28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72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 spans="1:28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72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 spans="1:28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72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 spans="1:28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72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 spans="1:28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72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 spans="1:28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72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 spans="1:28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72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 spans="1:28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72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 spans="1:28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72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 spans="1:28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72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 spans="1:28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72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 spans="1:28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72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 spans="1:28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72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 spans="1:28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72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 spans="1:28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72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 spans="1:28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72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 spans="1:28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72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 spans="1:28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72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 spans="1:28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72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 spans="1:28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72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 spans="1:28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72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 spans="1:28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72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 spans="1:28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72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 spans="1:28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72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 spans="1:28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72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 spans="1:28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72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 spans="1:28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72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 spans="1:28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72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 spans="1:28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72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 spans="1:28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72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 spans="1:28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72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 spans="1:28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72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 spans="1:28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72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 spans="1:28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72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 spans="1:28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72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 spans="1:28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72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 spans="1:28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72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 spans="1:28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72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 spans="1:28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72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 spans="1:28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72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 spans="1:28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72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 spans="1:28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72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 spans="1:28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72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 spans="1:28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72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 spans="1:28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72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 spans="1:28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72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 spans="1:28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72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 spans="1:28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72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 spans="1:28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72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 spans="1:28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72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 spans="1:28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72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 spans="1:28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72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 spans="1:28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72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 spans="1:28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72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 spans="1:28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72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 spans="1:28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72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 spans="1:28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72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 spans="1:28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72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 spans="1:28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72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 spans="1:28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72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 spans="1:28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72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 spans="1:28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72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 spans="1:28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72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 spans="1:28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72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 spans="1:28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72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 spans="1:28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72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 spans="1:28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72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 spans="1:28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72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 spans="1:28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72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 spans="1:28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72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 spans="1:28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72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 spans="1:28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72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 spans="1:28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72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 spans="1:28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72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 spans="1:28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72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 spans="1:28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72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 spans="1:28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72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 spans="1:28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72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 spans="1:28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72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 spans="1:28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72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 spans="1:28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72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 spans="1:28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72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 spans="1:28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72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 spans="1:28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72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 spans="1:28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72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 spans="1:28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72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 spans="1:28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72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 spans="1:28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72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 spans="1:28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72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 spans="1:28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72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 spans="1:28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72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 spans="1:28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72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 spans="1:28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72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 spans="1:28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72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 spans="1:28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72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 spans="1:28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72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 spans="1:28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72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 spans="1:28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72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 spans="1:28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72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 spans="1:28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72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 spans="1:28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72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 spans="1:28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72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</row>
    <row r="986" spans="1:28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72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</row>
    <row r="987" spans="1:28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72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</row>
    <row r="988" spans="1:28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72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</row>
    <row r="989" spans="1:28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72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</row>
    <row r="990" spans="1:28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72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</row>
    <row r="991" spans="1:28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72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</row>
    <row r="992" spans="1:28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72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</row>
    <row r="993" spans="1:28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72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</row>
    <row r="994" spans="1:28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72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</row>
    <row r="995" spans="1:28" x14ac:dyDescent="0.2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72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</row>
    <row r="996" spans="1:28" x14ac:dyDescent="0.25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72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</row>
    <row r="997" spans="1:28" x14ac:dyDescent="0.25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72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</row>
    <row r="998" spans="1:28" x14ac:dyDescent="0.25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72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</row>
  </sheetData>
  <hyperlinks>
    <hyperlink ref="T2" r:id="rId1" xr:uid="{00000000-0004-0000-0100-000000000000}"/>
    <hyperlink ref="T3" r:id="rId2" xr:uid="{00000000-0004-0000-0100-000001000000}"/>
    <hyperlink ref="T4" r:id="rId3" xr:uid="{00000000-0004-0000-0100-000002000000}"/>
    <hyperlink ref="T5" r:id="rId4" xr:uid="{00000000-0004-0000-0100-000003000000}"/>
    <hyperlink ref="T6" r:id="rId5" xr:uid="{00000000-0004-0000-0100-000004000000}"/>
    <hyperlink ref="T7" r:id="rId6" xr:uid="{00000000-0004-0000-0100-000005000000}"/>
    <hyperlink ref="T8" r:id="rId7" xr:uid="{00000000-0004-0000-0100-000006000000}"/>
    <hyperlink ref="T9" r:id="rId8" xr:uid="{00000000-0004-0000-0100-000007000000}"/>
    <hyperlink ref="T10" r:id="rId9" xr:uid="{00000000-0004-0000-0100-000008000000}"/>
    <hyperlink ref="T11" r:id="rId10" xr:uid="{00000000-0004-0000-0100-000009000000}"/>
    <hyperlink ref="T12" r:id="rId11" xr:uid="{00000000-0004-0000-0100-00000A000000}"/>
    <hyperlink ref="T13" r:id="rId12" xr:uid="{00000000-0004-0000-0100-00000B000000}"/>
    <hyperlink ref="T14" r:id="rId13" xr:uid="{00000000-0004-0000-0100-00000C000000}"/>
    <hyperlink ref="T18" r:id="rId14" xr:uid="{00000000-0004-0000-0100-00000D000000}"/>
    <hyperlink ref="T19" r:id="rId15" xr:uid="{00000000-0004-0000-0100-00000E000000}"/>
    <hyperlink ref="T20" r:id="rId16" xr:uid="{00000000-0004-0000-0100-00000F000000}"/>
    <hyperlink ref="T24" r:id="rId17" xr:uid="{00000000-0004-0000-0100-000010000000}"/>
    <hyperlink ref="T25" r:id="rId18" xr:uid="{00000000-0004-0000-0100-000011000000}"/>
    <hyperlink ref="T26" r:id="rId19" xr:uid="{00000000-0004-0000-0100-000012000000}"/>
    <hyperlink ref="T27" r:id="rId20" xr:uid="{00000000-0004-0000-0100-000013000000}"/>
    <hyperlink ref="T28" r:id="rId21" xr:uid="{00000000-0004-0000-0100-00001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72"/>
  <sheetViews>
    <sheetView zoomScale="80" zoomScaleNormal="80" workbookViewId="0">
      <pane ySplit="1" topLeftCell="A2" activePane="bottomLeft" state="frozen"/>
      <selection pane="bottomLeft" sqref="A1:XFD1"/>
    </sheetView>
  </sheetViews>
  <sheetFormatPr defaultColWidth="14.42578125" defaultRowHeight="15" customHeight="1" x14ac:dyDescent="0.25"/>
  <cols>
    <col min="1" max="5" width="20.7109375" customWidth="1"/>
    <col min="6" max="6" width="10.7109375" customWidth="1"/>
    <col min="7" max="7" width="40.7109375" customWidth="1"/>
    <col min="8" max="17" width="20.7109375" customWidth="1"/>
    <col min="18" max="23" width="8.7109375" customWidth="1"/>
  </cols>
  <sheetData>
    <row r="1" spans="1:23" ht="39.950000000000003" customHeight="1" x14ac:dyDescent="0.25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10</v>
      </c>
      <c r="J1" s="74" t="s">
        <v>173</v>
      </c>
      <c r="K1" s="73" t="s">
        <v>174</v>
      </c>
      <c r="L1" s="73" t="s">
        <v>16</v>
      </c>
      <c r="M1" s="73" t="s">
        <v>17</v>
      </c>
      <c r="N1" s="75" t="s">
        <v>18</v>
      </c>
      <c r="O1" s="75" t="s">
        <v>19</v>
      </c>
      <c r="P1" s="76" t="s">
        <v>175</v>
      </c>
      <c r="Q1" s="75" t="s">
        <v>176</v>
      </c>
      <c r="R1" s="77"/>
      <c r="S1" s="77"/>
      <c r="T1" s="77"/>
      <c r="U1" s="77"/>
      <c r="V1" s="77"/>
      <c r="W1" s="77"/>
    </row>
    <row r="2" spans="1:23" ht="39.950000000000003" customHeight="1" x14ac:dyDescent="0.25">
      <c r="A2" s="78" t="s">
        <v>177</v>
      </c>
      <c r="B2" s="78" t="s">
        <v>178</v>
      </c>
      <c r="C2" s="78" t="s">
        <v>107</v>
      </c>
      <c r="D2" s="78" t="s">
        <v>179</v>
      </c>
      <c r="E2" s="78" t="s">
        <v>180</v>
      </c>
      <c r="F2" s="78">
        <v>1</v>
      </c>
      <c r="G2" s="78" t="s">
        <v>181</v>
      </c>
      <c r="H2" s="78" t="s">
        <v>182</v>
      </c>
      <c r="I2" s="78">
        <v>0.1</v>
      </c>
      <c r="J2" s="79">
        <v>8.5000000000000006E-2</v>
      </c>
      <c r="K2" s="78">
        <v>1970</v>
      </c>
      <c r="L2" s="78">
        <f>K2*J2</f>
        <v>167.45000000000002</v>
      </c>
      <c r="M2" s="78">
        <v>0.21099999999999999</v>
      </c>
      <c r="N2" s="80" t="s">
        <v>44</v>
      </c>
      <c r="O2" s="81" t="s">
        <v>183</v>
      </c>
      <c r="P2" s="82">
        <f t="shared" ref="P2:P5" si="0">PRODUCT(L2,M2)</f>
        <v>35.331949999999999</v>
      </c>
      <c r="Q2" s="80">
        <v>100</v>
      </c>
      <c r="R2" s="78"/>
      <c r="S2" s="78"/>
      <c r="T2" s="78"/>
      <c r="U2" s="78"/>
      <c r="V2" s="78"/>
      <c r="W2" s="78"/>
    </row>
    <row r="3" spans="1:23" ht="39.950000000000003" customHeight="1" x14ac:dyDescent="0.25">
      <c r="A3" s="78" t="s">
        <v>177</v>
      </c>
      <c r="B3" s="78" t="s">
        <v>178</v>
      </c>
      <c r="C3" s="78" t="s">
        <v>107</v>
      </c>
      <c r="D3" s="78" t="s">
        <v>179</v>
      </c>
      <c r="E3" s="78" t="s">
        <v>180</v>
      </c>
      <c r="F3" s="78">
        <v>2</v>
      </c>
      <c r="G3" s="78" t="s">
        <v>184</v>
      </c>
      <c r="H3" s="78" t="s">
        <v>123</v>
      </c>
      <c r="I3" s="78"/>
      <c r="J3" s="79">
        <v>1.4999999999999999E-2</v>
      </c>
      <c r="K3" s="78">
        <v>2070</v>
      </c>
      <c r="L3" s="78">
        <v>31.05</v>
      </c>
      <c r="M3" s="78">
        <v>0.13600000000000001</v>
      </c>
      <c r="N3" s="80" t="s">
        <v>44</v>
      </c>
      <c r="O3" s="81" t="s">
        <v>185</v>
      </c>
      <c r="P3" s="82">
        <f t="shared" si="0"/>
        <v>4.2228000000000003</v>
      </c>
      <c r="Q3" s="80">
        <v>100</v>
      </c>
      <c r="R3" s="78"/>
      <c r="S3" s="78"/>
      <c r="T3" s="78"/>
      <c r="U3" s="78"/>
      <c r="V3" s="78"/>
      <c r="W3" s="78"/>
    </row>
    <row r="4" spans="1:23" ht="39.950000000000003" customHeight="1" x14ac:dyDescent="0.25">
      <c r="A4" s="78" t="s">
        <v>177</v>
      </c>
      <c r="B4" s="78" t="s">
        <v>178</v>
      </c>
      <c r="C4" s="78" t="s">
        <v>107</v>
      </c>
      <c r="D4" s="78" t="s">
        <v>179</v>
      </c>
      <c r="E4" s="78" t="s">
        <v>180</v>
      </c>
      <c r="F4" s="78">
        <v>3</v>
      </c>
      <c r="G4" s="78" t="s">
        <v>186</v>
      </c>
      <c r="H4" s="78" t="s">
        <v>187</v>
      </c>
      <c r="I4" s="78" t="s">
        <v>188</v>
      </c>
      <c r="J4" s="79"/>
      <c r="K4" s="78"/>
      <c r="L4" s="82">
        <v>0.5</v>
      </c>
      <c r="M4" s="78">
        <v>4.18</v>
      </c>
      <c r="N4" s="80" t="s">
        <v>44</v>
      </c>
      <c r="O4" s="81" t="s">
        <v>189</v>
      </c>
      <c r="P4" s="82">
        <f t="shared" si="0"/>
        <v>2.09</v>
      </c>
      <c r="Q4" s="80">
        <v>100</v>
      </c>
      <c r="R4" s="78"/>
      <c r="S4" s="78"/>
      <c r="T4" s="78"/>
      <c r="U4" s="78"/>
      <c r="V4" s="78"/>
      <c r="W4" s="78"/>
    </row>
    <row r="5" spans="1:23" ht="39.950000000000003" customHeight="1" x14ac:dyDescent="0.25">
      <c r="A5" s="78" t="s">
        <v>177</v>
      </c>
      <c r="B5" s="78" t="s">
        <v>178</v>
      </c>
      <c r="C5" s="78" t="s">
        <v>107</v>
      </c>
      <c r="D5" s="78" t="s">
        <v>179</v>
      </c>
      <c r="E5" s="78" t="s">
        <v>180</v>
      </c>
      <c r="F5" s="78">
        <v>4</v>
      </c>
      <c r="G5" s="78" t="s">
        <v>190</v>
      </c>
      <c r="H5" s="78" t="s">
        <v>191</v>
      </c>
      <c r="I5" s="78"/>
      <c r="J5" s="79"/>
      <c r="K5" s="78"/>
      <c r="L5" s="78">
        <v>0.5</v>
      </c>
      <c r="M5" s="78">
        <v>4.18</v>
      </c>
      <c r="N5" s="80" t="s">
        <v>44</v>
      </c>
      <c r="O5" s="81" t="s">
        <v>192</v>
      </c>
      <c r="P5" s="82">
        <f t="shared" si="0"/>
        <v>2.09</v>
      </c>
      <c r="Q5" s="80">
        <v>100</v>
      </c>
      <c r="R5" s="78"/>
      <c r="S5" s="78"/>
      <c r="T5" s="78"/>
      <c r="U5" s="78"/>
      <c r="V5" s="78"/>
      <c r="W5" s="78"/>
    </row>
    <row r="6" spans="1:23" ht="39.950000000000003" customHeight="1" x14ac:dyDescent="0.25">
      <c r="A6" s="83" t="s">
        <v>177</v>
      </c>
      <c r="B6" s="83" t="s">
        <v>193</v>
      </c>
      <c r="C6" s="83" t="s">
        <v>107</v>
      </c>
      <c r="D6" s="83" t="s">
        <v>194</v>
      </c>
      <c r="E6" s="83" t="s">
        <v>180</v>
      </c>
      <c r="F6" s="83">
        <v>1</v>
      </c>
      <c r="G6" s="83" t="s">
        <v>195</v>
      </c>
      <c r="H6" s="83" t="s">
        <v>196</v>
      </c>
      <c r="I6" s="83">
        <v>0.1</v>
      </c>
      <c r="J6" s="84"/>
      <c r="K6" s="83">
        <v>1900</v>
      </c>
      <c r="L6" s="83">
        <v>169</v>
      </c>
      <c r="M6" s="83">
        <v>19.600000000000001</v>
      </c>
      <c r="N6" s="85" t="s">
        <v>34</v>
      </c>
      <c r="O6" s="86" t="s">
        <v>197</v>
      </c>
      <c r="P6" s="87">
        <v>19.600000000000001</v>
      </c>
      <c r="Q6" s="85" t="s">
        <v>198</v>
      </c>
      <c r="R6" s="83"/>
      <c r="S6" s="83"/>
      <c r="T6" s="83"/>
      <c r="U6" s="83"/>
      <c r="V6" s="83"/>
      <c r="W6" s="83"/>
    </row>
    <row r="7" spans="1:23" ht="39.950000000000003" customHeight="1" x14ac:dyDescent="0.25">
      <c r="A7" s="83" t="s">
        <v>177</v>
      </c>
      <c r="B7" s="83" t="s">
        <v>193</v>
      </c>
      <c r="C7" s="83" t="s">
        <v>107</v>
      </c>
      <c r="D7" s="83" t="s">
        <v>194</v>
      </c>
      <c r="E7" s="83" t="s">
        <v>180</v>
      </c>
      <c r="F7" s="83">
        <v>2</v>
      </c>
      <c r="G7" s="83" t="s">
        <v>184</v>
      </c>
      <c r="H7" s="83" t="s">
        <v>123</v>
      </c>
      <c r="I7" s="83"/>
      <c r="J7" s="84"/>
      <c r="K7" s="83"/>
      <c r="L7" s="83">
        <v>31</v>
      </c>
      <c r="M7" s="83">
        <v>0.13600000000000001</v>
      </c>
      <c r="N7" s="85" t="s">
        <v>44</v>
      </c>
      <c r="O7" s="88" t="s">
        <v>199</v>
      </c>
      <c r="P7" s="87">
        <f t="shared" ref="P7:P9" si="1">PRODUCT(L7,M7)</f>
        <v>4.2160000000000002</v>
      </c>
      <c r="Q7" s="85" t="s">
        <v>198</v>
      </c>
      <c r="R7" s="83"/>
      <c r="S7" s="83"/>
      <c r="T7" s="83"/>
      <c r="U7" s="83"/>
      <c r="V7" s="83"/>
      <c r="W7" s="83"/>
    </row>
    <row r="8" spans="1:23" ht="39.950000000000003" customHeight="1" x14ac:dyDescent="0.25">
      <c r="A8" s="83" t="s">
        <v>177</v>
      </c>
      <c r="B8" s="83" t="s">
        <v>193</v>
      </c>
      <c r="C8" s="83" t="s">
        <v>107</v>
      </c>
      <c r="D8" s="83" t="s">
        <v>194</v>
      </c>
      <c r="E8" s="83" t="s">
        <v>180</v>
      </c>
      <c r="F8" s="83">
        <v>3</v>
      </c>
      <c r="G8" s="83" t="s">
        <v>200</v>
      </c>
      <c r="H8" s="83" t="s">
        <v>187</v>
      </c>
      <c r="I8" s="83" t="s">
        <v>188</v>
      </c>
      <c r="J8" s="84">
        <v>1.2960000000000001E-4</v>
      </c>
      <c r="K8" s="83">
        <v>7800</v>
      </c>
      <c r="L8" s="84">
        <f>PRODUCT(J8,K8)</f>
        <v>1.01088</v>
      </c>
      <c r="M8" s="83">
        <v>2.72</v>
      </c>
      <c r="N8" s="85" t="s">
        <v>44</v>
      </c>
      <c r="O8" s="88" t="s">
        <v>201</v>
      </c>
      <c r="P8" s="87">
        <f t="shared" si="1"/>
        <v>2.7495936000000003</v>
      </c>
      <c r="Q8" s="85" t="s">
        <v>198</v>
      </c>
      <c r="R8" s="83"/>
      <c r="S8" s="83"/>
      <c r="T8" s="83"/>
      <c r="U8" s="83"/>
      <c r="V8" s="83"/>
      <c r="W8" s="83"/>
    </row>
    <row r="9" spans="1:23" ht="39.950000000000003" customHeight="1" x14ac:dyDescent="0.25">
      <c r="A9" s="83" t="s">
        <v>177</v>
      </c>
      <c r="B9" s="83" t="s">
        <v>193</v>
      </c>
      <c r="C9" s="83" t="s">
        <v>107</v>
      </c>
      <c r="D9" s="83" t="s">
        <v>194</v>
      </c>
      <c r="E9" s="83" t="s">
        <v>180</v>
      </c>
      <c r="F9" s="83">
        <v>4</v>
      </c>
      <c r="G9" s="83" t="s">
        <v>190</v>
      </c>
      <c r="H9" s="83" t="s">
        <v>191</v>
      </c>
      <c r="I9" s="83"/>
      <c r="J9" s="84"/>
      <c r="K9" s="83"/>
      <c r="L9" s="83">
        <v>0.5</v>
      </c>
      <c r="M9" s="83">
        <v>4.18</v>
      </c>
      <c r="N9" s="85" t="s">
        <v>44</v>
      </c>
      <c r="O9" s="89" t="s">
        <v>202</v>
      </c>
      <c r="P9" s="87">
        <f t="shared" si="1"/>
        <v>2.09</v>
      </c>
      <c r="Q9" s="85" t="s">
        <v>198</v>
      </c>
      <c r="R9" s="83"/>
      <c r="S9" s="83"/>
      <c r="T9" s="83"/>
      <c r="U9" s="83"/>
      <c r="V9" s="83"/>
      <c r="W9" s="83"/>
    </row>
    <row r="10" spans="1:23" ht="39.950000000000003" customHeight="1" x14ac:dyDescent="0.25">
      <c r="A10" s="78" t="s">
        <v>177</v>
      </c>
      <c r="B10" s="78" t="s">
        <v>441</v>
      </c>
      <c r="C10" s="78" t="s">
        <v>107</v>
      </c>
      <c r="D10" s="90" t="s">
        <v>203</v>
      </c>
      <c r="E10" s="78" t="s">
        <v>180</v>
      </c>
      <c r="F10" s="78">
        <v>1</v>
      </c>
      <c r="G10" s="78" t="s">
        <v>204</v>
      </c>
      <c r="H10" s="78" t="s">
        <v>205</v>
      </c>
      <c r="I10" s="78">
        <v>1.2500000000000001E-2</v>
      </c>
      <c r="J10" s="79"/>
      <c r="K10" s="78"/>
      <c r="L10" s="78">
        <v>16</v>
      </c>
      <c r="M10" s="78">
        <v>4.8499999999999996</v>
      </c>
      <c r="N10" s="80" t="s">
        <v>34</v>
      </c>
      <c r="O10" s="91" t="s">
        <v>206</v>
      </c>
      <c r="P10" s="82">
        <v>4.8499999999999996</v>
      </c>
      <c r="Q10" s="80" t="s">
        <v>207</v>
      </c>
      <c r="R10" s="78"/>
      <c r="S10" s="78"/>
      <c r="T10" s="78"/>
      <c r="U10" s="78"/>
      <c r="V10" s="78"/>
      <c r="W10" s="78"/>
    </row>
    <row r="11" spans="1:23" ht="39.950000000000003" customHeight="1" x14ac:dyDescent="0.25">
      <c r="A11" s="78" t="s">
        <v>177</v>
      </c>
      <c r="B11" s="78" t="s">
        <v>441</v>
      </c>
      <c r="C11" s="78" t="s">
        <v>107</v>
      </c>
      <c r="D11" s="90" t="s">
        <v>203</v>
      </c>
      <c r="E11" s="78" t="s">
        <v>180</v>
      </c>
      <c r="F11" s="78">
        <v>2</v>
      </c>
      <c r="G11" s="78" t="s">
        <v>208</v>
      </c>
      <c r="H11" s="78" t="s">
        <v>209</v>
      </c>
      <c r="I11" s="78">
        <v>2.5000000000000001E-2</v>
      </c>
      <c r="J11" s="79">
        <v>2.5000000000000001E-3</v>
      </c>
      <c r="K11" s="78">
        <v>510</v>
      </c>
      <c r="L11" s="78">
        <f t="shared" ref="L11:L12" si="2">PRODUCT(J11,K11)</f>
        <v>1.2750000000000001</v>
      </c>
      <c r="M11" s="78">
        <v>41.5</v>
      </c>
      <c r="N11" s="80" t="s">
        <v>210</v>
      </c>
      <c r="O11" s="92" t="s">
        <v>211</v>
      </c>
      <c r="P11" s="82">
        <f>PRODUCT(J11,M11)</f>
        <v>0.10375000000000001</v>
      </c>
      <c r="Q11" s="80" t="s">
        <v>207</v>
      </c>
      <c r="R11" s="78"/>
      <c r="S11" s="78"/>
      <c r="T11" s="78"/>
      <c r="U11" s="78"/>
      <c r="V11" s="78"/>
      <c r="W11" s="78"/>
    </row>
    <row r="12" spans="1:23" ht="39.950000000000003" customHeight="1" x14ac:dyDescent="0.25">
      <c r="A12" s="78" t="s">
        <v>177</v>
      </c>
      <c r="B12" s="78" t="s">
        <v>441</v>
      </c>
      <c r="C12" s="78" t="s">
        <v>107</v>
      </c>
      <c r="D12" s="90" t="s">
        <v>203</v>
      </c>
      <c r="E12" s="78" t="s">
        <v>180</v>
      </c>
      <c r="F12" s="78">
        <v>3</v>
      </c>
      <c r="G12" s="78" t="s">
        <v>212</v>
      </c>
      <c r="H12" s="78" t="s">
        <v>213</v>
      </c>
      <c r="I12" s="78">
        <v>0.02</v>
      </c>
      <c r="J12" s="79">
        <v>0.02</v>
      </c>
      <c r="K12" s="78">
        <v>2070</v>
      </c>
      <c r="L12" s="78">
        <f t="shared" si="2"/>
        <v>41.4</v>
      </c>
      <c r="M12" s="78">
        <v>0.13600000000000001</v>
      </c>
      <c r="N12" s="80" t="s">
        <v>44</v>
      </c>
      <c r="O12" s="93" t="s">
        <v>214</v>
      </c>
      <c r="P12" s="82">
        <f>PRODUCT(L12,M12)</f>
        <v>5.6303999999999998</v>
      </c>
      <c r="Q12" s="80" t="s">
        <v>207</v>
      </c>
      <c r="R12" s="78"/>
      <c r="S12" s="78"/>
      <c r="T12" s="78"/>
      <c r="U12" s="78"/>
      <c r="V12" s="78"/>
      <c r="W12" s="78"/>
    </row>
    <row r="13" spans="1:23" ht="39.950000000000003" customHeight="1" x14ac:dyDescent="0.25">
      <c r="A13" s="78" t="s">
        <v>177</v>
      </c>
      <c r="B13" s="78" t="s">
        <v>441</v>
      </c>
      <c r="C13" s="78" t="s">
        <v>107</v>
      </c>
      <c r="D13" s="90" t="s">
        <v>203</v>
      </c>
      <c r="E13" s="78" t="s">
        <v>180</v>
      </c>
      <c r="F13" s="78">
        <v>4</v>
      </c>
      <c r="G13" s="78" t="s">
        <v>215</v>
      </c>
      <c r="H13" s="78" t="s">
        <v>216</v>
      </c>
      <c r="I13" s="78"/>
      <c r="J13" s="79"/>
      <c r="K13" s="78"/>
      <c r="L13" s="78">
        <v>0.16</v>
      </c>
      <c r="M13" s="78">
        <v>0.44500000000000001</v>
      </c>
      <c r="N13" s="80" t="s">
        <v>34</v>
      </c>
      <c r="O13" s="94" t="s">
        <v>217</v>
      </c>
      <c r="P13" s="82">
        <v>0.44500000000000001</v>
      </c>
      <c r="Q13" s="80" t="s">
        <v>207</v>
      </c>
      <c r="R13" s="78"/>
      <c r="S13" s="78"/>
      <c r="T13" s="78"/>
      <c r="U13" s="78"/>
      <c r="V13" s="78"/>
      <c r="W13" s="78"/>
    </row>
    <row r="14" spans="1:23" ht="39.950000000000003" customHeight="1" x14ac:dyDescent="0.25">
      <c r="A14" s="83" t="s">
        <v>177</v>
      </c>
      <c r="B14" s="83" t="s">
        <v>442</v>
      </c>
      <c r="C14" s="83" t="s">
        <v>218</v>
      </c>
      <c r="D14" s="83" t="s">
        <v>219</v>
      </c>
      <c r="E14" s="83" t="s">
        <v>180</v>
      </c>
      <c r="F14" s="83">
        <v>1</v>
      </c>
      <c r="G14" s="83" t="s">
        <v>220</v>
      </c>
      <c r="H14" s="83" t="s">
        <v>221</v>
      </c>
      <c r="I14" s="83">
        <v>20</v>
      </c>
      <c r="J14" s="84">
        <v>0.02</v>
      </c>
      <c r="K14" s="83">
        <v>510</v>
      </c>
      <c r="L14" s="83">
        <f t="shared" ref="L14:L15" si="3">PRODUCT(J14,K14)</f>
        <v>10.200000000000001</v>
      </c>
      <c r="M14" s="83">
        <v>0.26300000000000001</v>
      </c>
      <c r="N14" s="85" t="s">
        <v>222</v>
      </c>
      <c r="O14" s="89" t="s">
        <v>223</v>
      </c>
      <c r="P14" s="87">
        <f>PRODUCT(L14,M14)</f>
        <v>2.6826000000000003</v>
      </c>
      <c r="Q14" s="85" t="s">
        <v>207</v>
      </c>
      <c r="R14" s="83"/>
      <c r="S14" s="83"/>
      <c r="T14" s="83"/>
      <c r="U14" s="83"/>
      <c r="V14" s="83"/>
      <c r="W14" s="83"/>
    </row>
    <row r="15" spans="1:23" ht="39.950000000000003" customHeight="1" x14ac:dyDescent="0.25">
      <c r="A15" s="83" t="s">
        <v>177</v>
      </c>
      <c r="B15" s="83" t="s">
        <v>442</v>
      </c>
      <c r="C15" s="83" t="s">
        <v>218</v>
      </c>
      <c r="D15" s="83" t="s">
        <v>219</v>
      </c>
      <c r="E15" s="83" t="s">
        <v>180</v>
      </c>
      <c r="F15" s="83">
        <v>2</v>
      </c>
      <c r="G15" s="83" t="s">
        <v>208</v>
      </c>
      <c r="H15" s="83" t="s">
        <v>224</v>
      </c>
      <c r="I15" s="83" t="s">
        <v>225</v>
      </c>
      <c r="J15" s="84">
        <v>2.5000000000000001E-3</v>
      </c>
      <c r="K15" s="83">
        <v>510</v>
      </c>
      <c r="L15" s="83">
        <f t="shared" si="3"/>
        <v>1.2750000000000001</v>
      </c>
      <c r="M15" s="83">
        <v>41.5</v>
      </c>
      <c r="N15" s="85" t="s">
        <v>226</v>
      </c>
      <c r="O15" s="95" t="s">
        <v>227</v>
      </c>
      <c r="P15" s="87">
        <f>PRODUCT(J15,M15)</f>
        <v>0.10375000000000001</v>
      </c>
      <c r="Q15" s="85" t="s">
        <v>207</v>
      </c>
      <c r="R15" s="83"/>
      <c r="S15" s="83"/>
      <c r="T15" s="83"/>
      <c r="U15" s="83"/>
      <c r="V15" s="83"/>
      <c r="W15" s="83"/>
    </row>
    <row r="16" spans="1:23" ht="39.950000000000003" customHeight="1" x14ac:dyDescent="0.25">
      <c r="A16" s="83" t="s">
        <v>177</v>
      </c>
      <c r="B16" s="83" t="s">
        <v>442</v>
      </c>
      <c r="C16" s="83" t="s">
        <v>218</v>
      </c>
      <c r="D16" s="83" t="s">
        <v>219</v>
      </c>
      <c r="E16" s="83" t="s">
        <v>180</v>
      </c>
      <c r="F16" s="83">
        <v>3</v>
      </c>
      <c r="G16" s="83" t="s">
        <v>228</v>
      </c>
      <c r="H16" s="83" t="s">
        <v>229</v>
      </c>
      <c r="I16" s="83">
        <v>1</v>
      </c>
      <c r="J16" s="84"/>
      <c r="K16" s="83"/>
      <c r="L16" s="83">
        <v>0.121</v>
      </c>
      <c r="M16" s="83">
        <v>2.4</v>
      </c>
      <c r="N16" s="85" t="s">
        <v>44</v>
      </c>
      <c r="O16" s="89" t="s">
        <v>230</v>
      </c>
      <c r="P16" s="87">
        <f>L16*M16</f>
        <v>0.29039999999999999</v>
      </c>
      <c r="Q16" s="85" t="s">
        <v>207</v>
      </c>
      <c r="R16" s="83"/>
      <c r="S16" s="83"/>
      <c r="T16" s="83"/>
      <c r="U16" s="83"/>
      <c r="V16" s="83"/>
      <c r="W16" s="83"/>
    </row>
    <row r="17" spans="1:23" ht="39.950000000000003" customHeight="1" x14ac:dyDescent="0.25">
      <c r="A17" s="78" t="s">
        <v>177</v>
      </c>
      <c r="B17" s="78" t="s">
        <v>443</v>
      </c>
      <c r="C17" s="78" t="s">
        <v>107</v>
      </c>
      <c r="D17" s="78" t="s">
        <v>231</v>
      </c>
      <c r="E17" s="78" t="s">
        <v>180</v>
      </c>
      <c r="F17" s="78">
        <v>1</v>
      </c>
      <c r="G17" s="78" t="s">
        <v>232</v>
      </c>
      <c r="H17" s="78" t="s">
        <v>233</v>
      </c>
      <c r="I17" s="78"/>
      <c r="J17" s="79"/>
      <c r="K17" s="78"/>
      <c r="L17" s="78">
        <v>52.54</v>
      </c>
      <c r="M17" s="78">
        <v>59.1</v>
      </c>
      <c r="N17" s="80" t="s">
        <v>34</v>
      </c>
      <c r="O17" s="81" t="s">
        <v>234</v>
      </c>
      <c r="P17" s="82">
        <f>M17</f>
        <v>59.1</v>
      </c>
      <c r="Q17" s="80">
        <v>50</v>
      </c>
      <c r="R17" s="78"/>
      <c r="S17" s="78"/>
      <c r="T17" s="78"/>
      <c r="U17" s="78"/>
      <c r="V17" s="78"/>
      <c r="W17" s="78"/>
    </row>
    <row r="18" spans="1:23" ht="15.75" customHeight="1" x14ac:dyDescent="0.25">
      <c r="J18" s="96"/>
      <c r="N18" s="97"/>
      <c r="O18" s="98"/>
      <c r="P18" s="99"/>
      <c r="Q18" s="100"/>
    </row>
    <row r="19" spans="1:23" ht="15.75" customHeight="1" x14ac:dyDescent="0.25">
      <c r="J19" s="96"/>
      <c r="N19" s="97"/>
      <c r="O19" s="98"/>
      <c r="P19" s="99"/>
      <c r="Q19" s="100"/>
    </row>
    <row r="20" spans="1:23" ht="15.75" customHeight="1" x14ac:dyDescent="0.25">
      <c r="J20" s="96"/>
      <c r="N20" s="97"/>
      <c r="O20" s="98"/>
      <c r="P20" s="99"/>
      <c r="Q20" s="100"/>
    </row>
    <row r="21" spans="1:23" ht="15.75" customHeight="1" x14ac:dyDescent="0.25">
      <c r="J21" s="96"/>
      <c r="N21" s="97"/>
      <c r="O21" s="98"/>
      <c r="P21" s="99"/>
      <c r="Q21" s="100"/>
    </row>
    <row r="22" spans="1:23" ht="15.75" customHeight="1" x14ac:dyDescent="0.25">
      <c r="J22" s="96"/>
      <c r="N22" s="97"/>
      <c r="O22" s="98"/>
      <c r="P22" s="99"/>
      <c r="Q22" s="100"/>
    </row>
    <row r="23" spans="1:23" ht="15.75" customHeight="1" x14ac:dyDescent="0.25">
      <c r="J23" s="96"/>
      <c r="N23" s="97"/>
      <c r="O23" s="98"/>
      <c r="P23" s="99"/>
      <c r="Q23" s="100"/>
    </row>
    <row r="24" spans="1:23" ht="15.75" customHeight="1" x14ac:dyDescent="0.25">
      <c r="J24" s="96"/>
      <c r="N24" s="97"/>
      <c r="O24" s="98"/>
      <c r="P24" s="99"/>
      <c r="Q24" s="100"/>
    </row>
    <row r="25" spans="1:23" ht="15.75" customHeight="1" x14ac:dyDescent="0.25">
      <c r="J25" s="96"/>
      <c r="N25" s="97"/>
      <c r="O25" s="98"/>
      <c r="P25" s="99"/>
      <c r="Q25" s="100"/>
    </row>
    <row r="26" spans="1:23" ht="15.75" customHeight="1" x14ac:dyDescent="0.25">
      <c r="J26" s="96"/>
      <c r="N26" s="97"/>
      <c r="O26" s="98"/>
      <c r="P26" s="99"/>
      <c r="Q26" s="100"/>
    </row>
    <row r="27" spans="1:23" ht="15.75" customHeight="1" x14ac:dyDescent="0.25">
      <c r="J27" s="96"/>
      <c r="N27" s="97"/>
      <c r="O27" s="98"/>
      <c r="P27" s="99"/>
      <c r="Q27" s="100"/>
    </row>
    <row r="28" spans="1:23" ht="15.75" customHeight="1" x14ac:dyDescent="0.25">
      <c r="J28" s="96"/>
      <c r="N28" s="97"/>
      <c r="O28" s="98"/>
      <c r="P28" s="99"/>
      <c r="Q28" s="100"/>
    </row>
    <row r="29" spans="1:23" ht="15.75" customHeight="1" x14ac:dyDescent="0.25">
      <c r="J29" s="96"/>
      <c r="N29" s="97"/>
      <c r="O29" s="98"/>
      <c r="P29" s="99"/>
      <c r="Q29" s="100"/>
    </row>
    <row r="30" spans="1:23" ht="15.75" customHeight="1" x14ac:dyDescent="0.25">
      <c r="J30" s="96"/>
      <c r="N30" s="97"/>
      <c r="O30" s="98"/>
      <c r="P30" s="99"/>
      <c r="Q30" s="100"/>
    </row>
    <row r="31" spans="1:23" ht="15.75" customHeight="1" x14ac:dyDescent="0.25">
      <c r="J31" s="96"/>
      <c r="N31" s="97"/>
      <c r="O31" s="98"/>
      <c r="P31" s="99"/>
      <c r="Q31" s="100"/>
    </row>
    <row r="32" spans="1:23" ht="15.75" customHeight="1" x14ac:dyDescent="0.25">
      <c r="J32" s="96"/>
      <c r="N32" s="97"/>
      <c r="O32" s="98"/>
      <c r="P32" s="99"/>
      <c r="Q32" s="100"/>
    </row>
    <row r="33" spans="10:17" ht="15.75" customHeight="1" x14ac:dyDescent="0.25">
      <c r="J33" s="96"/>
      <c r="N33" s="97"/>
      <c r="O33" s="98"/>
      <c r="P33" s="99"/>
      <c r="Q33" s="100"/>
    </row>
    <row r="34" spans="10:17" ht="15.75" customHeight="1" x14ac:dyDescent="0.25">
      <c r="J34" s="96"/>
      <c r="N34" s="97"/>
      <c r="O34" s="98"/>
      <c r="P34" s="99"/>
      <c r="Q34" s="100"/>
    </row>
    <row r="35" spans="10:17" ht="15.75" customHeight="1" x14ac:dyDescent="0.25">
      <c r="J35" s="96"/>
      <c r="N35" s="97"/>
      <c r="O35" s="98"/>
      <c r="P35" s="99"/>
      <c r="Q35" s="100"/>
    </row>
    <row r="36" spans="10:17" ht="15.75" customHeight="1" x14ac:dyDescent="0.25">
      <c r="J36" s="96"/>
      <c r="N36" s="97"/>
      <c r="O36" s="98"/>
      <c r="P36" s="99"/>
      <c r="Q36" s="100"/>
    </row>
    <row r="37" spans="10:17" ht="15.75" customHeight="1" x14ac:dyDescent="0.25">
      <c r="J37" s="96"/>
      <c r="N37" s="97"/>
      <c r="O37" s="98"/>
      <c r="P37" s="99"/>
      <c r="Q37" s="100"/>
    </row>
    <row r="38" spans="10:17" ht="15.75" customHeight="1" x14ac:dyDescent="0.25">
      <c r="J38" s="96"/>
      <c r="N38" s="97"/>
      <c r="O38" s="98"/>
      <c r="P38" s="99"/>
      <c r="Q38" s="100"/>
    </row>
    <row r="39" spans="10:17" ht="15.75" customHeight="1" x14ac:dyDescent="0.25">
      <c r="J39" s="96"/>
      <c r="N39" s="97"/>
      <c r="O39" s="98"/>
      <c r="P39" s="99"/>
      <c r="Q39" s="100"/>
    </row>
    <row r="40" spans="10:17" ht="15.75" customHeight="1" x14ac:dyDescent="0.25">
      <c r="J40" s="96"/>
      <c r="N40" s="97"/>
      <c r="O40" s="98"/>
      <c r="P40" s="99"/>
      <c r="Q40" s="100"/>
    </row>
    <row r="41" spans="10:17" ht="15.75" customHeight="1" x14ac:dyDescent="0.25">
      <c r="J41" s="96"/>
      <c r="N41" s="97"/>
      <c r="O41" s="98"/>
      <c r="P41" s="99"/>
      <c r="Q41" s="100"/>
    </row>
    <row r="42" spans="10:17" ht="15.75" customHeight="1" x14ac:dyDescent="0.25">
      <c r="J42" s="96"/>
      <c r="N42" s="97"/>
      <c r="O42" s="98"/>
      <c r="P42" s="99"/>
      <c r="Q42" s="100"/>
    </row>
    <row r="43" spans="10:17" ht="15.75" customHeight="1" x14ac:dyDescent="0.25">
      <c r="J43" s="96"/>
      <c r="N43" s="97"/>
      <c r="O43" s="98"/>
      <c r="P43" s="99"/>
      <c r="Q43" s="100"/>
    </row>
    <row r="44" spans="10:17" ht="15.75" customHeight="1" x14ac:dyDescent="0.25">
      <c r="J44" s="96"/>
      <c r="N44" s="97"/>
      <c r="O44" s="98"/>
      <c r="P44" s="99"/>
      <c r="Q44" s="100"/>
    </row>
    <row r="45" spans="10:17" ht="15.75" customHeight="1" x14ac:dyDescent="0.25">
      <c r="J45" s="96"/>
      <c r="N45" s="97"/>
      <c r="O45" s="98"/>
      <c r="P45" s="99"/>
      <c r="Q45" s="100"/>
    </row>
    <row r="46" spans="10:17" ht="15.75" customHeight="1" x14ac:dyDescent="0.25">
      <c r="J46" s="96"/>
      <c r="N46" s="97"/>
      <c r="O46" s="98"/>
      <c r="P46" s="99"/>
      <c r="Q46" s="100"/>
    </row>
    <row r="47" spans="10:17" ht="15.75" customHeight="1" x14ac:dyDescent="0.25">
      <c r="J47" s="96"/>
      <c r="N47" s="97"/>
      <c r="O47" s="98"/>
      <c r="P47" s="99"/>
      <c r="Q47" s="100"/>
    </row>
    <row r="48" spans="10:17" ht="15.75" customHeight="1" x14ac:dyDescent="0.25">
      <c r="J48" s="96"/>
      <c r="N48" s="97"/>
      <c r="O48" s="98"/>
      <c r="P48" s="99"/>
      <c r="Q48" s="100"/>
    </row>
    <row r="49" spans="10:17" ht="15.75" customHeight="1" x14ac:dyDescent="0.25">
      <c r="J49" s="96"/>
      <c r="N49" s="97"/>
      <c r="O49" s="98"/>
      <c r="P49" s="99"/>
      <c r="Q49" s="100"/>
    </row>
    <row r="50" spans="10:17" ht="15.75" customHeight="1" x14ac:dyDescent="0.25">
      <c r="J50" s="96"/>
      <c r="N50" s="97"/>
      <c r="O50" s="98"/>
      <c r="P50" s="99"/>
      <c r="Q50" s="100"/>
    </row>
    <row r="51" spans="10:17" ht="15.75" customHeight="1" x14ac:dyDescent="0.25">
      <c r="J51" s="96"/>
      <c r="N51" s="97"/>
      <c r="O51" s="98"/>
      <c r="P51" s="99"/>
      <c r="Q51" s="100"/>
    </row>
    <row r="52" spans="10:17" ht="15.75" customHeight="1" x14ac:dyDescent="0.25">
      <c r="J52" s="96"/>
      <c r="N52" s="97"/>
      <c r="O52" s="98"/>
      <c r="P52" s="99"/>
      <c r="Q52" s="100"/>
    </row>
    <row r="53" spans="10:17" ht="15.75" customHeight="1" x14ac:dyDescent="0.25">
      <c r="J53" s="96"/>
      <c r="N53" s="97"/>
      <c r="O53" s="98"/>
      <c r="P53" s="99"/>
      <c r="Q53" s="100"/>
    </row>
    <row r="54" spans="10:17" ht="15.75" customHeight="1" x14ac:dyDescent="0.25">
      <c r="J54" s="96"/>
      <c r="N54" s="97"/>
      <c r="O54" s="98"/>
      <c r="P54" s="99"/>
      <c r="Q54" s="100"/>
    </row>
    <row r="55" spans="10:17" ht="15.75" customHeight="1" x14ac:dyDescent="0.25">
      <c r="J55" s="96"/>
      <c r="N55" s="97"/>
      <c r="O55" s="98"/>
      <c r="P55" s="99"/>
      <c r="Q55" s="100"/>
    </row>
    <row r="56" spans="10:17" ht="15.75" customHeight="1" x14ac:dyDescent="0.25">
      <c r="J56" s="96"/>
      <c r="N56" s="97"/>
      <c r="O56" s="98"/>
      <c r="P56" s="99"/>
      <c r="Q56" s="100"/>
    </row>
    <row r="57" spans="10:17" ht="15.75" customHeight="1" x14ac:dyDescent="0.25">
      <c r="J57" s="96"/>
      <c r="N57" s="97"/>
      <c r="O57" s="98"/>
      <c r="P57" s="99"/>
      <c r="Q57" s="100"/>
    </row>
    <row r="58" spans="10:17" ht="15.75" customHeight="1" x14ac:dyDescent="0.25">
      <c r="J58" s="96"/>
      <c r="N58" s="97"/>
      <c r="O58" s="98"/>
      <c r="P58" s="99"/>
      <c r="Q58" s="100"/>
    </row>
    <row r="59" spans="10:17" ht="15.75" customHeight="1" x14ac:dyDescent="0.25">
      <c r="J59" s="96"/>
      <c r="N59" s="97"/>
      <c r="O59" s="98"/>
      <c r="P59" s="99"/>
      <c r="Q59" s="100"/>
    </row>
    <row r="60" spans="10:17" ht="15.75" customHeight="1" x14ac:dyDescent="0.25">
      <c r="J60" s="96"/>
      <c r="N60" s="97"/>
      <c r="O60" s="98"/>
      <c r="P60" s="99"/>
      <c r="Q60" s="100"/>
    </row>
    <row r="61" spans="10:17" ht="15.75" customHeight="1" x14ac:dyDescent="0.25">
      <c r="J61" s="96"/>
      <c r="N61" s="97"/>
      <c r="O61" s="98"/>
      <c r="P61" s="99"/>
      <c r="Q61" s="100"/>
    </row>
    <row r="62" spans="10:17" ht="15.75" customHeight="1" x14ac:dyDescent="0.25">
      <c r="J62" s="96"/>
      <c r="N62" s="97"/>
      <c r="O62" s="98"/>
      <c r="P62" s="99"/>
      <c r="Q62" s="100"/>
    </row>
    <row r="63" spans="10:17" ht="15.75" customHeight="1" x14ac:dyDescent="0.25">
      <c r="J63" s="96"/>
      <c r="N63" s="97"/>
      <c r="O63" s="98"/>
      <c r="P63" s="99"/>
      <c r="Q63" s="100"/>
    </row>
    <row r="64" spans="10:17" ht="15.75" customHeight="1" x14ac:dyDescent="0.25">
      <c r="J64" s="96"/>
      <c r="N64" s="97"/>
      <c r="O64" s="98"/>
      <c r="P64" s="99"/>
      <c r="Q64" s="100"/>
    </row>
    <row r="65" spans="10:17" ht="15.75" customHeight="1" x14ac:dyDescent="0.25">
      <c r="J65" s="96"/>
      <c r="N65" s="97"/>
      <c r="O65" s="98"/>
      <c r="P65" s="99"/>
      <c r="Q65" s="100"/>
    </row>
    <row r="66" spans="10:17" ht="15.75" customHeight="1" x14ac:dyDescent="0.25">
      <c r="J66" s="96"/>
      <c r="N66" s="97"/>
      <c r="O66" s="98"/>
      <c r="P66" s="99"/>
      <c r="Q66" s="100"/>
    </row>
    <row r="67" spans="10:17" ht="15.75" customHeight="1" x14ac:dyDescent="0.25">
      <c r="J67" s="96"/>
      <c r="N67" s="97"/>
      <c r="O67" s="98"/>
      <c r="P67" s="99"/>
      <c r="Q67" s="100"/>
    </row>
    <row r="68" spans="10:17" ht="15.75" customHeight="1" x14ac:dyDescent="0.25">
      <c r="J68" s="96"/>
      <c r="N68" s="97"/>
      <c r="O68" s="98"/>
      <c r="P68" s="99"/>
      <c r="Q68" s="100"/>
    </row>
    <row r="69" spans="10:17" ht="15.75" customHeight="1" x14ac:dyDescent="0.25">
      <c r="J69" s="96"/>
      <c r="N69" s="97"/>
      <c r="O69" s="98"/>
      <c r="P69" s="99"/>
      <c r="Q69" s="100"/>
    </row>
    <row r="70" spans="10:17" ht="15.75" customHeight="1" x14ac:dyDescent="0.25">
      <c r="J70" s="96"/>
      <c r="N70" s="97"/>
      <c r="O70" s="98"/>
      <c r="P70" s="99"/>
      <c r="Q70" s="100"/>
    </row>
    <row r="71" spans="10:17" ht="15.75" customHeight="1" x14ac:dyDescent="0.25">
      <c r="J71" s="96"/>
      <c r="N71" s="97"/>
      <c r="O71" s="98"/>
      <c r="P71" s="99"/>
      <c r="Q71" s="100"/>
    </row>
    <row r="72" spans="10:17" ht="15.75" customHeight="1" x14ac:dyDescent="0.25">
      <c r="J72" s="96"/>
      <c r="N72" s="97"/>
      <c r="O72" s="98"/>
      <c r="P72" s="99"/>
      <c r="Q72" s="100"/>
    </row>
    <row r="73" spans="10:17" ht="15.75" customHeight="1" x14ac:dyDescent="0.25">
      <c r="J73" s="96"/>
      <c r="N73" s="97"/>
      <c r="O73" s="98"/>
      <c r="P73" s="99"/>
      <c r="Q73" s="100"/>
    </row>
    <row r="74" spans="10:17" ht="15.75" customHeight="1" x14ac:dyDescent="0.25">
      <c r="J74" s="96"/>
      <c r="N74" s="97"/>
      <c r="O74" s="98"/>
      <c r="P74" s="99"/>
      <c r="Q74" s="100"/>
    </row>
    <row r="75" spans="10:17" ht="15.75" customHeight="1" x14ac:dyDescent="0.25">
      <c r="J75" s="96"/>
      <c r="N75" s="97"/>
      <c r="O75" s="98"/>
      <c r="P75" s="99"/>
      <c r="Q75" s="100"/>
    </row>
    <row r="76" spans="10:17" ht="15.75" customHeight="1" x14ac:dyDescent="0.25">
      <c r="J76" s="96"/>
      <c r="N76" s="97"/>
      <c r="O76" s="98"/>
      <c r="P76" s="99"/>
      <c r="Q76" s="100"/>
    </row>
    <row r="77" spans="10:17" ht="15.75" customHeight="1" x14ac:dyDescent="0.25">
      <c r="J77" s="96"/>
      <c r="N77" s="97"/>
      <c r="O77" s="98"/>
      <c r="P77" s="99"/>
      <c r="Q77" s="100"/>
    </row>
    <row r="78" spans="10:17" ht="15.75" customHeight="1" x14ac:dyDescent="0.25">
      <c r="J78" s="96"/>
      <c r="N78" s="97"/>
      <c r="O78" s="98"/>
      <c r="P78" s="99"/>
      <c r="Q78" s="100"/>
    </row>
    <row r="79" spans="10:17" ht="15.75" customHeight="1" x14ac:dyDescent="0.25">
      <c r="J79" s="96"/>
      <c r="N79" s="97"/>
      <c r="O79" s="98"/>
      <c r="P79" s="99"/>
      <c r="Q79" s="100"/>
    </row>
    <row r="80" spans="10:17" ht="15.75" customHeight="1" x14ac:dyDescent="0.25">
      <c r="J80" s="96"/>
      <c r="N80" s="97"/>
      <c r="O80" s="98"/>
      <c r="P80" s="99"/>
      <c r="Q80" s="100"/>
    </row>
    <row r="81" spans="10:17" ht="15.75" customHeight="1" x14ac:dyDescent="0.25">
      <c r="J81" s="96"/>
      <c r="N81" s="97"/>
      <c r="O81" s="98"/>
      <c r="P81" s="99"/>
      <c r="Q81" s="100"/>
    </row>
    <row r="82" spans="10:17" ht="15.75" customHeight="1" x14ac:dyDescent="0.25">
      <c r="J82" s="96"/>
      <c r="N82" s="97"/>
      <c r="O82" s="98"/>
      <c r="P82" s="99"/>
      <c r="Q82" s="100"/>
    </row>
    <row r="83" spans="10:17" ht="15.75" customHeight="1" x14ac:dyDescent="0.25">
      <c r="J83" s="96"/>
      <c r="N83" s="97"/>
      <c r="O83" s="98"/>
      <c r="P83" s="99"/>
      <c r="Q83" s="100"/>
    </row>
    <row r="84" spans="10:17" ht="15.75" customHeight="1" x14ac:dyDescent="0.25">
      <c r="J84" s="96"/>
      <c r="N84" s="97"/>
      <c r="O84" s="98"/>
      <c r="P84" s="99"/>
      <c r="Q84" s="100"/>
    </row>
    <row r="85" spans="10:17" ht="15.75" customHeight="1" x14ac:dyDescent="0.25">
      <c r="J85" s="96"/>
      <c r="N85" s="97"/>
      <c r="O85" s="98"/>
      <c r="P85" s="99"/>
      <c r="Q85" s="100"/>
    </row>
    <row r="86" spans="10:17" ht="15.75" customHeight="1" x14ac:dyDescent="0.25">
      <c r="J86" s="96"/>
      <c r="N86" s="97"/>
      <c r="O86" s="98"/>
      <c r="P86" s="99"/>
      <c r="Q86" s="100"/>
    </row>
    <row r="87" spans="10:17" ht="15.75" customHeight="1" x14ac:dyDescent="0.25">
      <c r="J87" s="96"/>
      <c r="N87" s="97"/>
      <c r="O87" s="98"/>
      <c r="P87" s="99"/>
      <c r="Q87" s="100"/>
    </row>
    <row r="88" spans="10:17" ht="15.75" customHeight="1" x14ac:dyDescent="0.25">
      <c r="J88" s="96"/>
      <c r="N88" s="97"/>
      <c r="O88" s="98"/>
      <c r="P88" s="99"/>
      <c r="Q88" s="100"/>
    </row>
    <row r="89" spans="10:17" ht="15.75" customHeight="1" x14ac:dyDescent="0.25">
      <c r="J89" s="96"/>
      <c r="N89" s="97"/>
      <c r="O89" s="98"/>
      <c r="P89" s="99"/>
      <c r="Q89" s="100"/>
    </row>
    <row r="90" spans="10:17" ht="15.75" customHeight="1" x14ac:dyDescent="0.25">
      <c r="J90" s="96"/>
      <c r="N90" s="97"/>
      <c r="O90" s="98"/>
      <c r="P90" s="99"/>
      <c r="Q90" s="100"/>
    </row>
    <row r="91" spans="10:17" ht="15.75" customHeight="1" x14ac:dyDescent="0.25">
      <c r="J91" s="96"/>
      <c r="N91" s="97"/>
      <c r="O91" s="98"/>
      <c r="P91" s="99"/>
      <c r="Q91" s="100"/>
    </row>
    <row r="92" spans="10:17" ht="15.75" customHeight="1" x14ac:dyDescent="0.25">
      <c r="J92" s="96"/>
      <c r="N92" s="97"/>
      <c r="O92" s="98"/>
      <c r="P92" s="99"/>
      <c r="Q92" s="100"/>
    </row>
    <row r="93" spans="10:17" ht="15.75" customHeight="1" x14ac:dyDescent="0.25">
      <c r="J93" s="96"/>
      <c r="N93" s="97"/>
      <c r="O93" s="98"/>
      <c r="P93" s="99"/>
      <c r="Q93" s="100"/>
    </row>
    <row r="94" spans="10:17" ht="15.75" customHeight="1" x14ac:dyDescent="0.25">
      <c r="J94" s="96"/>
      <c r="N94" s="97"/>
      <c r="O94" s="98"/>
      <c r="P94" s="99"/>
      <c r="Q94" s="100"/>
    </row>
    <row r="95" spans="10:17" ht="15.75" customHeight="1" x14ac:dyDescent="0.25">
      <c r="J95" s="96"/>
      <c r="N95" s="97"/>
      <c r="O95" s="98"/>
      <c r="P95" s="99"/>
      <c r="Q95" s="100"/>
    </row>
    <row r="96" spans="10:17" ht="15.75" customHeight="1" x14ac:dyDescent="0.25">
      <c r="J96" s="96"/>
      <c r="N96" s="97"/>
      <c r="O96" s="98"/>
      <c r="P96" s="99"/>
      <c r="Q96" s="100"/>
    </row>
    <row r="97" spans="10:17" ht="15.75" customHeight="1" x14ac:dyDescent="0.25">
      <c r="J97" s="96"/>
      <c r="N97" s="97"/>
      <c r="O97" s="98"/>
      <c r="P97" s="99"/>
      <c r="Q97" s="100"/>
    </row>
    <row r="98" spans="10:17" ht="15.75" customHeight="1" x14ac:dyDescent="0.25">
      <c r="J98" s="96"/>
      <c r="N98" s="97"/>
      <c r="O98" s="98"/>
      <c r="P98" s="99"/>
      <c r="Q98" s="100"/>
    </row>
    <row r="99" spans="10:17" ht="15.75" customHeight="1" x14ac:dyDescent="0.25">
      <c r="J99" s="96"/>
      <c r="N99" s="97"/>
      <c r="O99" s="98"/>
      <c r="P99" s="99"/>
      <c r="Q99" s="100"/>
    </row>
    <row r="100" spans="10:17" ht="15.75" customHeight="1" x14ac:dyDescent="0.25">
      <c r="J100" s="96"/>
      <c r="N100" s="97"/>
      <c r="O100" s="98"/>
      <c r="P100" s="99"/>
      <c r="Q100" s="100"/>
    </row>
    <row r="101" spans="10:17" ht="15.75" customHeight="1" x14ac:dyDescent="0.25">
      <c r="J101" s="96"/>
      <c r="N101" s="97"/>
      <c r="O101" s="98"/>
      <c r="P101" s="99"/>
      <c r="Q101" s="100"/>
    </row>
    <row r="102" spans="10:17" ht="15.75" customHeight="1" x14ac:dyDescent="0.25">
      <c r="J102" s="96"/>
      <c r="N102" s="97"/>
      <c r="O102" s="98"/>
      <c r="P102" s="99"/>
      <c r="Q102" s="100"/>
    </row>
    <row r="103" spans="10:17" ht="15.75" customHeight="1" x14ac:dyDescent="0.25">
      <c r="J103" s="96"/>
      <c r="N103" s="97"/>
      <c r="O103" s="98"/>
      <c r="P103" s="99"/>
      <c r="Q103" s="100"/>
    </row>
    <row r="104" spans="10:17" ht="15.75" customHeight="1" x14ac:dyDescent="0.25">
      <c r="J104" s="96"/>
      <c r="N104" s="97"/>
      <c r="O104" s="98"/>
      <c r="P104" s="99"/>
      <c r="Q104" s="100"/>
    </row>
    <row r="105" spans="10:17" ht="15.75" customHeight="1" x14ac:dyDescent="0.25">
      <c r="J105" s="96"/>
      <c r="N105" s="97"/>
      <c r="O105" s="98"/>
      <c r="P105" s="99"/>
      <c r="Q105" s="100"/>
    </row>
    <row r="106" spans="10:17" ht="15.75" customHeight="1" x14ac:dyDescent="0.25">
      <c r="J106" s="96"/>
      <c r="N106" s="97"/>
      <c r="O106" s="98"/>
      <c r="P106" s="99"/>
      <c r="Q106" s="100"/>
    </row>
    <row r="107" spans="10:17" ht="15.75" customHeight="1" x14ac:dyDescent="0.25">
      <c r="J107" s="96"/>
      <c r="N107" s="97"/>
      <c r="O107" s="98"/>
      <c r="P107" s="99"/>
      <c r="Q107" s="100"/>
    </row>
    <row r="108" spans="10:17" ht="15.75" customHeight="1" x14ac:dyDescent="0.25">
      <c r="J108" s="96"/>
      <c r="N108" s="97"/>
      <c r="O108" s="98"/>
      <c r="P108" s="99"/>
      <c r="Q108" s="100"/>
    </row>
    <row r="109" spans="10:17" ht="15.75" customHeight="1" x14ac:dyDescent="0.25">
      <c r="J109" s="96"/>
      <c r="N109" s="97"/>
      <c r="O109" s="98"/>
      <c r="P109" s="99"/>
      <c r="Q109" s="100"/>
    </row>
    <row r="110" spans="10:17" ht="15.75" customHeight="1" x14ac:dyDescent="0.25">
      <c r="J110" s="96"/>
      <c r="N110" s="97"/>
      <c r="O110" s="98"/>
      <c r="P110" s="99"/>
      <c r="Q110" s="100"/>
    </row>
    <row r="111" spans="10:17" ht="15.75" customHeight="1" x14ac:dyDescent="0.25">
      <c r="J111" s="96"/>
      <c r="N111" s="97"/>
      <c r="O111" s="98"/>
      <c r="P111" s="99"/>
      <c r="Q111" s="100"/>
    </row>
    <row r="112" spans="10:17" ht="15.75" customHeight="1" x14ac:dyDescent="0.25">
      <c r="J112" s="96"/>
      <c r="N112" s="97"/>
      <c r="O112" s="98"/>
      <c r="P112" s="99"/>
      <c r="Q112" s="100"/>
    </row>
    <row r="113" spans="10:17" ht="15.75" customHeight="1" x14ac:dyDescent="0.25">
      <c r="J113" s="96"/>
      <c r="N113" s="97"/>
      <c r="O113" s="98"/>
      <c r="P113" s="99"/>
      <c r="Q113" s="100"/>
    </row>
    <row r="114" spans="10:17" ht="15.75" customHeight="1" x14ac:dyDescent="0.25">
      <c r="J114" s="96"/>
      <c r="N114" s="97"/>
      <c r="O114" s="98"/>
      <c r="P114" s="99"/>
      <c r="Q114" s="100"/>
    </row>
    <row r="115" spans="10:17" ht="15.75" customHeight="1" x14ac:dyDescent="0.25">
      <c r="J115" s="96"/>
      <c r="N115" s="97"/>
      <c r="O115" s="98"/>
      <c r="P115" s="99"/>
      <c r="Q115" s="100"/>
    </row>
    <row r="116" spans="10:17" ht="15.75" customHeight="1" x14ac:dyDescent="0.25">
      <c r="J116" s="96"/>
      <c r="N116" s="97"/>
      <c r="O116" s="98"/>
      <c r="P116" s="99"/>
      <c r="Q116" s="100"/>
    </row>
    <row r="117" spans="10:17" ht="15.75" customHeight="1" x14ac:dyDescent="0.25">
      <c r="J117" s="96"/>
      <c r="N117" s="97"/>
      <c r="O117" s="98"/>
      <c r="P117" s="99"/>
      <c r="Q117" s="100"/>
    </row>
    <row r="118" spans="10:17" ht="15.75" customHeight="1" x14ac:dyDescent="0.25">
      <c r="J118" s="96"/>
      <c r="N118" s="97"/>
      <c r="O118" s="98"/>
      <c r="P118" s="99"/>
      <c r="Q118" s="100"/>
    </row>
    <row r="119" spans="10:17" ht="15.75" customHeight="1" x14ac:dyDescent="0.25">
      <c r="J119" s="96"/>
      <c r="N119" s="97"/>
      <c r="O119" s="98"/>
      <c r="P119" s="99"/>
      <c r="Q119" s="100"/>
    </row>
    <row r="120" spans="10:17" ht="15.75" customHeight="1" x14ac:dyDescent="0.25">
      <c r="J120" s="96"/>
      <c r="N120" s="97"/>
      <c r="O120" s="98"/>
      <c r="P120" s="99"/>
      <c r="Q120" s="100"/>
    </row>
    <row r="121" spans="10:17" ht="15.75" customHeight="1" x14ac:dyDescent="0.25">
      <c r="J121" s="96"/>
      <c r="N121" s="97"/>
      <c r="O121" s="98"/>
      <c r="P121" s="99"/>
      <c r="Q121" s="100"/>
    </row>
    <row r="122" spans="10:17" ht="15.75" customHeight="1" x14ac:dyDescent="0.25">
      <c r="J122" s="96"/>
      <c r="N122" s="97"/>
      <c r="O122" s="98"/>
      <c r="P122" s="99"/>
      <c r="Q122" s="100"/>
    </row>
    <row r="123" spans="10:17" ht="15.75" customHeight="1" x14ac:dyDescent="0.25">
      <c r="J123" s="96"/>
      <c r="N123" s="97"/>
      <c r="O123" s="98"/>
      <c r="P123" s="99"/>
      <c r="Q123" s="100"/>
    </row>
    <row r="124" spans="10:17" ht="15.75" customHeight="1" x14ac:dyDescent="0.25">
      <c r="J124" s="96"/>
      <c r="N124" s="97"/>
      <c r="O124" s="98"/>
      <c r="P124" s="99"/>
      <c r="Q124" s="100"/>
    </row>
    <row r="125" spans="10:17" ht="15.75" customHeight="1" x14ac:dyDescent="0.25">
      <c r="J125" s="96"/>
      <c r="N125" s="97"/>
      <c r="O125" s="98"/>
      <c r="P125" s="99"/>
      <c r="Q125" s="100"/>
    </row>
    <row r="126" spans="10:17" ht="15.75" customHeight="1" x14ac:dyDescent="0.25">
      <c r="J126" s="96"/>
      <c r="N126" s="97"/>
      <c r="O126" s="98"/>
      <c r="P126" s="99"/>
      <c r="Q126" s="100"/>
    </row>
    <row r="127" spans="10:17" ht="15.75" customHeight="1" x14ac:dyDescent="0.25">
      <c r="J127" s="96"/>
      <c r="N127" s="97"/>
      <c r="O127" s="98"/>
      <c r="P127" s="99"/>
      <c r="Q127" s="100"/>
    </row>
    <row r="128" spans="10:17" ht="15.75" customHeight="1" x14ac:dyDescent="0.25">
      <c r="J128" s="96"/>
      <c r="N128" s="97"/>
      <c r="O128" s="98"/>
      <c r="P128" s="99"/>
      <c r="Q128" s="100"/>
    </row>
    <row r="129" spans="10:17" ht="15.75" customHeight="1" x14ac:dyDescent="0.25">
      <c r="J129" s="96"/>
      <c r="N129" s="97"/>
      <c r="O129" s="98"/>
      <c r="P129" s="99"/>
      <c r="Q129" s="100"/>
    </row>
    <row r="130" spans="10:17" ht="15.75" customHeight="1" x14ac:dyDescent="0.25">
      <c r="J130" s="96"/>
      <c r="N130" s="97"/>
      <c r="O130" s="98"/>
      <c r="P130" s="99"/>
      <c r="Q130" s="100"/>
    </row>
    <row r="131" spans="10:17" ht="15.75" customHeight="1" x14ac:dyDescent="0.25">
      <c r="J131" s="96"/>
      <c r="N131" s="97"/>
      <c r="O131" s="98"/>
      <c r="P131" s="99"/>
      <c r="Q131" s="100"/>
    </row>
    <row r="132" spans="10:17" ht="15.75" customHeight="1" x14ac:dyDescent="0.25">
      <c r="J132" s="96"/>
      <c r="N132" s="97"/>
      <c r="O132" s="98"/>
      <c r="P132" s="99"/>
      <c r="Q132" s="100"/>
    </row>
    <row r="133" spans="10:17" ht="15.75" customHeight="1" x14ac:dyDescent="0.25">
      <c r="J133" s="96"/>
      <c r="N133" s="97"/>
      <c r="O133" s="98"/>
      <c r="P133" s="99"/>
      <c r="Q133" s="100"/>
    </row>
    <row r="134" spans="10:17" ht="15.75" customHeight="1" x14ac:dyDescent="0.25">
      <c r="J134" s="96"/>
      <c r="N134" s="97"/>
      <c r="O134" s="98"/>
      <c r="P134" s="99"/>
      <c r="Q134" s="100"/>
    </row>
    <row r="135" spans="10:17" ht="15.75" customHeight="1" x14ac:dyDescent="0.25">
      <c r="J135" s="96"/>
      <c r="N135" s="97"/>
      <c r="O135" s="98"/>
      <c r="P135" s="99"/>
      <c r="Q135" s="100"/>
    </row>
    <row r="136" spans="10:17" ht="15.75" customHeight="1" x14ac:dyDescent="0.25">
      <c r="J136" s="96"/>
      <c r="N136" s="97"/>
      <c r="O136" s="98"/>
      <c r="P136" s="99"/>
      <c r="Q136" s="100"/>
    </row>
    <row r="137" spans="10:17" ht="15.75" customHeight="1" x14ac:dyDescent="0.25">
      <c r="J137" s="96"/>
      <c r="N137" s="97"/>
      <c r="O137" s="98"/>
      <c r="P137" s="99"/>
      <c r="Q137" s="100"/>
    </row>
    <row r="138" spans="10:17" ht="15.75" customHeight="1" x14ac:dyDescent="0.25">
      <c r="J138" s="96"/>
      <c r="N138" s="97"/>
      <c r="O138" s="98"/>
      <c r="P138" s="99"/>
      <c r="Q138" s="100"/>
    </row>
    <row r="139" spans="10:17" ht="15.75" customHeight="1" x14ac:dyDescent="0.25">
      <c r="J139" s="96"/>
      <c r="N139" s="97"/>
      <c r="O139" s="98"/>
      <c r="P139" s="99"/>
      <c r="Q139" s="100"/>
    </row>
    <row r="140" spans="10:17" ht="15.75" customHeight="1" x14ac:dyDescent="0.25">
      <c r="J140" s="96"/>
      <c r="N140" s="97"/>
      <c r="O140" s="98"/>
      <c r="P140" s="99"/>
      <c r="Q140" s="100"/>
    </row>
    <row r="141" spans="10:17" ht="15.75" customHeight="1" x14ac:dyDescent="0.25">
      <c r="J141" s="96"/>
      <c r="N141" s="97"/>
      <c r="O141" s="98"/>
      <c r="P141" s="99"/>
      <c r="Q141" s="100"/>
    </row>
    <row r="142" spans="10:17" ht="15.75" customHeight="1" x14ac:dyDescent="0.25">
      <c r="J142" s="96"/>
      <c r="N142" s="97"/>
      <c r="O142" s="98"/>
      <c r="P142" s="99"/>
      <c r="Q142" s="100"/>
    </row>
    <row r="143" spans="10:17" ht="15.75" customHeight="1" x14ac:dyDescent="0.25">
      <c r="J143" s="96"/>
      <c r="N143" s="97"/>
      <c r="O143" s="98"/>
      <c r="P143" s="99"/>
      <c r="Q143" s="100"/>
    </row>
    <row r="144" spans="10:17" ht="15.75" customHeight="1" x14ac:dyDescent="0.25">
      <c r="J144" s="96"/>
      <c r="N144" s="97"/>
      <c r="O144" s="98"/>
      <c r="P144" s="99"/>
      <c r="Q144" s="100"/>
    </row>
    <row r="145" spans="10:17" ht="15.75" customHeight="1" x14ac:dyDescent="0.25">
      <c r="J145" s="96"/>
      <c r="N145" s="97"/>
      <c r="O145" s="98"/>
      <c r="P145" s="99"/>
      <c r="Q145" s="100"/>
    </row>
    <row r="146" spans="10:17" ht="15.75" customHeight="1" x14ac:dyDescent="0.25">
      <c r="J146" s="96"/>
      <c r="N146" s="97"/>
      <c r="O146" s="98"/>
      <c r="P146" s="99"/>
      <c r="Q146" s="100"/>
    </row>
    <row r="147" spans="10:17" ht="15.75" customHeight="1" x14ac:dyDescent="0.25">
      <c r="J147" s="96"/>
      <c r="N147" s="97"/>
      <c r="O147" s="98"/>
      <c r="P147" s="99"/>
      <c r="Q147" s="100"/>
    </row>
    <row r="148" spans="10:17" ht="15.75" customHeight="1" x14ac:dyDescent="0.25">
      <c r="J148" s="96"/>
      <c r="N148" s="97"/>
      <c r="O148" s="98"/>
      <c r="P148" s="99"/>
      <c r="Q148" s="100"/>
    </row>
    <row r="149" spans="10:17" ht="15.75" customHeight="1" x14ac:dyDescent="0.25">
      <c r="J149" s="96"/>
      <c r="N149" s="97"/>
      <c r="O149" s="98"/>
      <c r="P149" s="99"/>
      <c r="Q149" s="100"/>
    </row>
    <row r="150" spans="10:17" ht="15.75" customHeight="1" x14ac:dyDescent="0.25">
      <c r="J150" s="96"/>
      <c r="N150" s="97"/>
      <c r="O150" s="98"/>
      <c r="P150" s="99"/>
      <c r="Q150" s="100"/>
    </row>
    <row r="151" spans="10:17" ht="15.75" customHeight="1" x14ac:dyDescent="0.25">
      <c r="J151" s="96"/>
      <c r="N151" s="97"/>
      <c r="O151" s="98"/>
      <c r="P151" s="99"/>
      <c r="Q151" s="100"/>
    </row>
    <row r="152" spans="10:17" ht="15.75" customHeight="1" x14ac:dyDescent="0.25">
      <c r="J152" s="96"/>
      <c r="N152" s="97"/>
      <c r="O152" s="98"/>
      <c r="P152" s="99"/>
      <c r="Q152" s="100"/>
    </row>
    <row r="153" spans="10:17" ht="15.75" customHeight="1" x14ac:dyDescent="0.25">
      <c r="J153" s="96"/>
      <c r="N153" s="97"/>
      <c r="O153" s="98"/>
      <c r="P153" s="99"/>
      <c r="Q153" s="100"/>
    </row>
    <row r="154" spans="10:17" ht="15.75" customHeight="1" x14ac:dyDescent="0.25">
      <c r="J154" s="96"/>
      <c r="N154" s="97"/>
      <c r="O154" s="98"/>
      <c r="P154" s="99"/>
      <c r="Q154" s="100"/>
    </row>
    <row r="155" spans="10:17" ht="15.75" customHeight="1" x14ac:dyDescent="0.25">
      <c r="J155" s="96"/>
      <c r="N155" s="97"/>
      <c r="O155" s="98"/>
      <c r="P155" s="99"/>
      <c r="Q155" s="100"/>
    </row>
    <row r="156" spans="10:17" ht="15.75" customHeight="1" x14ac:dyDescent="0.25">
      <c r="J156" s="96"/>
      <c r="N156" s="97"/>
      <c r="O156" s="98"/>
      <c r="P156" s="99"/>
      <c r="Q156" s="100"/>
    </row>
    <row r="157" spans="10:17" ht="15.75" customHeight="1" x14ac:dyDescent="0.25">
      <c r="J157" s="96"/>
      <c r="N157" s="97"/>
      <c r="O157" s="98"/>
      <c r="P157" s="99"/>
      <c r="Q157" s="100"/>
    </row>
    <row r="158" spans="10:17" ht="15.75" customHeight="1" x14ac:dyDescent="0.25">
      <c r="J158" s="96"/>
      <c r="N158" s="97"/>
      <c r="O158" s="98"/>
      <c r="P158" s="99"/>
      <c r="Q158" s="100"/>
    </row>
    <row r="159" spans="10:17" ht="15.75" customHeight="1" x14ac:dyDescent="0.25">
      <c r="J159" s="96"/>
      <c r="N159" s="97"/>
      <c r="O159" s="98"/>
      <c r="P159" s="99"/>
      <c r="Q159" s="100"/>
    </row>
    <row r="160" spans="10:17" ht="15.75" customHeight="1" x14ac:dyDescent="0.25">
      <c r="J160" s="96"/>
      <c r="N160" s="97"/>
      <c r="O160" s="98"/>
      <c r="P160" s="99"/>
      <c r="Q160" s="100"/>
    </row>
    <row r="161" spans="10:17" ht="15.75" customHeight="1" x14ac:dyDescent="0.25">
      <c r="J161" s="96"/>
      <c r="N161" s="97"/>
      <c r="O161" s="98"/>
      <c r="P161" s="99"/>
      <c r="Q161" s="100"/>
    </row>
    <row r="162" spans="10:17" ht="15.75" customHeight="1" x14ac:dyDescent="0.25">
      <c r="J162" s="96"/>
      <c r="N162" s="97"/>
      <c r="O162" s="98"/>
      <c r="P162" s="99"/>
      <c r="Q162" s="100"/>
    </row>
    <row r="163" spans="10:17" ht="15.75" customHeight="1" x14ac:dyDescent="0.25">
      <c r="J163" s="96"/>
      <c r="N163" s="97"/>
      <c r="O163" s="98"/>
      <c r="P163" s="99"/>
      <c r="Q163" s="100"/>
    </row>
    <row r="164" spans="10:17" ht="15.75" customHeight="1" x14ac:dyDescent="0.25">
      <c r="J164" s="96"/>
      <c r="N164" s="97"/>
      <c r="O164" s="98"/>
      <c r="P164" s="99"/>
      <c r="Q164" s="100"/>
    </row>
    <row r="165" spans="10:17" ht="15.75" customHeight="1" x14ac:dyDescent="0.25">
      <c r="J165" s="96"/>
      <c r="N165" s="97"/>
      <c r="O165" s="98"/>
      <c r="P165" s="99"/>
      <c r="Q165" s="100"/>
    </row>
    <row r="166" spans="10:17" ht="15.75" customHeight="1" x14ac:dyDescent="0.25">
      <c r="J166" s="96"/>
      <c r="N166" s="97"/>
      <c r="O166" s="98"/>
      <c r="P166" s="99"/>
      <c r="Q166" s="100"/>
    </row>
    <row r="167" spans="10:17" ht="15.75" customHeight="1" x14ac:dyDescent="0.25">
      <c r="J167" s="96"/>
      <c r="N167" s="97"/>
      <c r="O167" s="98"/>
      <c r="P167" s="99"/>
      <c r="Q167" s="100"/>
    </row>
    <row r="168" spans="10:17" ht="15.75" customHeight="1" x14ac:dyDescent="0.25">
      <c r="J168" s="96"/>
      <c r="N168" s="97"/>
      <c r="O168" s="98"/>
      <c r="P168" s="99"/>
      <c r="Q168" s="100"/>
    </row>
    <row r="169" spans="10:17" ht="15.75" customHeight="1" x14ac:dyDescent="0.25">
      <c r="J169" s="96"/>
      <c r="N169" s="97"/>
      <c r="O169" s="98"/>
      <c r="P169" s="99"/>
      <c r="Q169" s="100"/>
    </row>
    <row r="170" spans="10:17" ht="15.75" customHeight="1" x14ac:dyDescent="0.25">
      <c r="J170" s="96"/>
      <c r="N170" s="97"/>
      <c r="O170" s="98"/>
      <c r="P170" s="99"/>
      <c r="Q170" s="100"/>
    </row>
    <row r="171" spans="10:17" ht="15.75" customHeight="1" x14ac:dyDescent="0.25">
      <c r="J171" s="96"/>
      <c r="N171" s="97"/>
      <c r="O171" s="98"/>
      <c r="P171" s="99"/>
      <c r="Q171" s="100"/>
    </row>
    <row r="172" spans="10:17" ht="15.75" customHeight="1" x14ac:dyDescent="0.25">
      <c r="J172" s="96"/>
      <c r="N172" s="97"/>
      <c r="O172" s="98"/>
      <c r="P172" s="99"/>
      <c r="Q172" s="100"/>
    </row>
    <row r="173" spans="10:17" ht="15.75" customHeight="1" x14ac:dyDescent="0.25">
      <c r="J173" s="96"/>
      <c r="N173" s="97"/>
      <c r="O173" s="98"/>
      <c r="P173" s="99"/>
      <c r="Q173" s="100"/>
    </row>
    <row r="174" spans="10:17" ht="15.75" customHeight="1" x14ac:dyDescent="0.25">
      <c r="J174" s="96"/>
      <c r="N174" s="97"/>
      <c r="O174" s="98"/>
      <c r="P174" s="99"/>
      <c r="Q174" s="100"/>
    </row>
    <row r="175" spans="10:17" ht="15.75" customHeight="1" x14ac:dyDescent="0.25">
      <c r="J175" s="96"/>
      <c r="N175" s="97"/>
      <c r="O175" s="98"/>
      <c r="P175" s="99"/>
      <c r="Q175" s="100"/>
    </row>
    <row r="176" spans="10:17" ht="15.75" customHeight="1" x14ac:dyDescent="0.25">
      <c r="J176" s="96"/>
      <c r="N176" s="97"/>
      <c r="O176" s="98"/>
      <c r="P176" s="99"/>
      <c r="Q176" s="100"/>
    </row>
    <row r="177" spans="10:17" ht="15.75" customHeight="1" x14ac:dyDescent="0.25">
      <c r="J177" s="96"/>
      <c r="N177" s="97"/>
      <c r="O177" s="98"/>
      <c r="P177" s="99"/>
      <c r="Q177" s="100"/>
    </row>
    <row r="178" spans="10:17" ht="15.75" customHeight="1" x14ac:dyDescent="0.25">
      <c r="J178" s="96"/>
      <c r="N178" s="97"/>
      <c r="O178" s="98"/>
      <c r="P178" s="99"/>
      <c r="Q178" s="100"/>
    </row>
    <row r="179" spans="10:17" ht="15.75" customHeight="1" x14ac:dyDescent="0.25">
      <c r="J179" s="96"/>
      <c r="N179" s="97"/>
      <c r="O179" s="98"/>
      <c r="P179" s="99"/>
      <c r="Q179" s="100"/>
    </row>
    <row r="180" spans="10:17" ht="15.75" customHeight="1" x14ac:dyDescent="0.25">
      <c r="J180" s="96"/>
      <c r="N180" s="97"/>
      <c r="O180" s="98"/>
      <c r="P180" s="99"/>
      <c r="Q180" s="100"/>
    </row>
    <row r="181" spans="10:17" ht="15.75" customHeight="1" x14ac:dyDescent="0.25">
      <c r="J181" s="96"/>
      <c r="N181" s="97"/>
      <c r="O181" s="98"/>
      <c r="P181" s="99"/>
      <c r="Q181" s="100"/>
    </row>
    <row r="182" spans="10:17" ht="15.75" customHeight="1" x14ac:dyDescent="0.25">
      <c r="J182" s="96"/>
      <c r="N182" s="97"/>
      <c r="O182" s="98"/>
      <c r="P182" s="99"/>
      <c r="Q182" s="100"/>
    </row>
    <row r="183" spans="10:17" ht="15.75" customHeight="1" x14ac:dyDescent="0.25">
      <c r="J183" s="96"/>
      <c r="N183" s="97"/>
      <c r="O183" s="98"/>
      <c r="P183" s="99"/>
      <c r="Q183" s="100"/>
    </row>
    <row r="184" spans="10:17" ht="15.75" customHeight="1" x14ac:dyDescent="0.25">
      <c r="J184" s="96"/>
      <c r="N184" s="97"/>
      <c r="O184" s="98"/>
      <c r="P184" s="99"/>
      <c r="Q184" s="100"/>
    </row>
    <row r="185" spans="10:17" ht="15.75" customHeight="1" x14ac:dyDescent="0.25">
      <c r="J185" s="96"/>
      <c r="N185" s="97"/>
      <c r="O185" s="98"/>
      <c r="P185" s="99"/>
      <c r="Q185" s="100"/>
    </row>
    <row r="186" spans="10:17" ht="15.75" customHeight="1" x14ac:dyDescent="0.25">
      <c r="J186" s="96"/>
      <c r="N186" s="97"/>
      <c r="O186" s="98"/>
      <c r="P186" s="99"/>
      <c r="Q186" s="100"/>
    </row>
    <row r="187" spans="10:17" ht="15.75" customHeight="1" x14ac:dyDescent="0.25">
      <c r="J187" s="96"/>
      <c r="N187" s="97"/>
      <c r="O187" s="98"/>
      <c r="P187" s="99"/>
      <c r="Q187" s="100"/>
    </row>
    <row r="188" spans="10:17" ht="15.75" customHeight="1" x14ac:dyDescent="0.25">
      <c r="J188" s="96"/>
      <c r="N188" s="97"/>
      <c r="O188" s="98"/>
      <c r="P188" s="99"/>
      <c r="Q188" s="100"/>
    </row>
    <row r="189" spans="10:17" ht="15.75" customHeight="1" x14ac:dyDescent="0.25">
      <c r="J189" s="96"/>
      <c r="N189" s="97"/>
      <c r="O189" s="98"/>
      <c r="P189" s="99"/>
      <c r="Q189" s="100"/>
    </row>
    <row r="190" spans="10:17" ht="15.75" customHeight="1" x14ac:dyDescent="0.25">
      <c r="J190" s="96"/>
      <c r="N190" s="97"/>
      <c r="O190" s="98"/>
      <c r="P190" s="99"/>
      <c r="Q190" s="100"/>
    </row>
    <row r="191" spans="10:17" ht="15.75" customHeight="1" x14ac:dyDescent="0.25">
      <c r="J191" s="96"/>
      <c r="N191" s="97"/>
      <c r="O191" s="98"/>
      <c r="P191" s="99"/>
      <c r="Q191" s="100"/>
    </row>
    <row r="192" spans="10:17" ht="15.75" customHeight="1" x14ac:dyDescent="0.25">
      <c r="J192" s="96"/>
      <c r="N192" s="97"/>
      <c r="O192" s="98"/>
      <c r="P192" s="99"/>
      <c r="Q192" s="100"/>
    </row>
    <row r="193" spans="10:17" ht="15.75" customHeight="1" x14ac:dyDescent="0.25">
      <c r="J193" s="96"/>
      <c r="N193" s="97"/>
      <c r="O193" s="98"/>
      <c r="P193" s="99"/>
      <c r="Q193" s="100"/>
    </row>
    <row r="194" spans="10:17" ht="15.75" customHeight="1" x14ac:dyDescent="0.25">
      <c r="J194" s="96"/>
      <c r="N194" s="97"/>
      <c r="O194" s="98"/>
      <c r="P194" s="99"/>
      <c r="Q194" s="100"/>
    </row>
    <row r="195" spans="10:17" ht="15.75" customHeight="1" x14ac:dyDescent="0.25">
      <c r="J195" s="96"/>
      <c r="N195" s="97"/>
      <c r="O195" s="98"/>
      <c r="P195" s="99"/>
      <c r="Q195" s="100"/>
    </row>
    <row r="196" spans="10:17" ht="15.75" customHeight="1" x14ac:dyDescent="0.25">
      <c r="J196" s="96"/>
      <c r="N196" s="97"/>
      <c r="O196" s="98"/>
      <c r="P196" s="99"/>
      <c r="Q196" s="100"/>
    </row>
    <row r="197" spans="10:17" ht="15.75" customHeight="1" x14ac:dyDescent="0.25">
      <c r="J197" s="96"/>
      <c r="N197" s="97"/>
      <c r="O197" s="98"/>
      <c r="P197" s="99"/>
      <c r="Q197" s="100"/>
    </row>
    <row r="198" spans="10:17" ht="15.75" customHeight="1" x14ac:dyDescent="0.25">
      <c r="J198" s="96"/>
      <c r="N198" s="97"/>
      <c r="O198" s="98"/>
      <c r="P198" s="99"/>
      <c r="Q198" s="100"/>
    </row>
    <row r="199" spans="10:17" ht="15.75" customHeight="1" x14ac:dyDescent="0.25">
      <c r="J199" s="96"/>
      <c r="N199" s="97"/>
      <c r="O199" s="98"/>
      <c r="P199" s="99"/>
      <c r="Q199" s="100"/>
    </row>
    <row r="200" spans="10:17" ht="15.75" customHeight="1" x14ac:dyDescent="0.25">
      <c r="J200" s="96"/>
      <c r="N200" s="97"/>
      <c r="O200" s="98"/>
      <c r="P200" s="99"/>
      <c r="Q200" s="100"/>
    </row>
    <row r="201" spans="10:17" ht="15.75" customHeight="1" x14ac:dyDescent="0.25">
      <c r="J201" s="96"/>
      <c r="N201" s="97"/>
      <c r="O201" s="98"/>
      <c r="P201" s="99"/>
      <c r="Q201" s="100"/>
    </row>
    <row r="202" spans="10:17" ht="15.75" customHeight="1" x14ac:dyDescent="0.25">
      <c r="J202" s="96"/>
      <c r="N202" s="97"/>
      <c r="O202" s="98"/>
      <c r="P202" s="99"/>
      <c r="Q202" s="100"/>
    </row>
    <row r="203" spans="10:17" ht="15.75" customHeight="1" x14ac:dyDescent="0.25">
      <c r="J203" s="96"/>
      <c r="N203" s="97"/>
      <c r="O203" s="98"/>
      <c r="P203" s="99"/>
      <c r="Q203" s="100"/>
    </row>
    <row r="204" spans="10:17" ht="15.75" customHeight="1" x14ac:dyDescent="0.25">
      <c r="J204" s="96"/>
      <c r="N204" s="97"/>
      <c r="O204" s="98"/>
      <c r="P204" s="99"/>
      <c r="Q204" s="100"/>
    </row>
    <row r="205" spans="10:17" ht="15.75" customHeight="1" x14ac:dyDescent="0.25">
      <c r="J205" s="96"/>
      <c r="N205" s="97"/>
      <c r="O205" s="98"/>
      <c r="P205" s="99"/>
      <c r="Q205" s="100"/>
    </row>
    <row r="206" spans="10:17" ht="15.75" customHeight="1" x14ac:dyDescent="0.25">
      <c r="J206" s="96"/>
      <c r="N206" s="97"/>
      <c r="O206" s="98"/>
      <c r="P206" s="99"/>
      <c r="Q206" s="100"/>
    </row>
    <row r="207" spans="10:17" ht="15.75" customHeight="1" x14ac:dyDescent="0.25">
      <c r="J207" s="96"/>
      <c r="N207" s="97"/>
      <c r="O207" s="98"/>
      <c r="P207" s="99"/>
      <c r="Q207" s="100"/>
    </row>
    <row r="208" spans="10:17" ht="15.75" customHeight="1" x14ac:dyDescent="0.25">
      <c r="J208" s="96"/>
      <c r="N208" s="97"/>
      <c r="O208" s="98"/>
      <c r="P208" s="99"/>
      <c r="Q208" s="100"/>
    </row>
    <row r="209" spans="10:17" ht="15.75" customHeight="1" x14ac:dyDescent="0.25">
      <c r="J209" s="96"/>
      <c r="N209" s="97"/>
      <c r="O209" s="98"/>
      <c r="P209" s="99"/>
      <c r="Q209" s="100"/>
    </row>
    <row r="210" spans="10:17" ht="15.75" customHeight="1" x14ac:dyDescent="0.25">
      <c r="J210" s="96"/>
      <c r="N210" s="97"/>
      <c r="O210" s="98"/>
      <c r="P210" s="99"/>
      <c r="Q210" s="100"/>
    </row>
    <row r="211" spans="10:17" ht="15.75" customHeight="1" x14ac:dyDescent="0.25">
      <c r="J211" s="96"/>
      <c r="N211" s="97"/>
      <c r="O211" s="98"/>
      <c r="P211" s="99"/>
      <c r="Q211" s="100"/>
    </row>
    <row r="212" spans="10:17" ht="15.75" customHeight="1" x14ac:dyDescent="0.25">
      <c r="J212" s="96"/>
      <c r="N212" s="97"/>
      <c r="O212" s="98"/>
      <c r="P212" s="99"/>
      <c r="Q212" s="100"/>
    </row>
    <row r="213" spans="10:17" ht="15.75" customHeight="1" x14ac:dyDescent="0.25">
      <c r="J213" s="96"/>
      <c r="N213" s="97"/>
      <c r="O213" s="98"/>
      <c r="P213" s="99"/>
      <c r="Q213" s="100"/>
    </row>
    <row r="214" spans="10:17" ht="15.75" customHeight="1" x14ac:dyDescent="0.25">
      <c r="J214" s="96"/>
      <c r="N214" s="97"/>
      <c r="O214" s="98"/>
      <c r="P214" s="99"/>
      <c r="Q214" s="100"/>
    </row>
    <row r="215" spans="10:17" ht="15.75" customHeight="1" x14ac:dyDescent="0.25">
      <c r="J215" s="96"/>
      <c r="N215" s="97"/>
      <c r="O215" s="98"/>
      <c r="P215" s="99"/>
      <c r="Q215" s="100"/>
    </row>
    <row r="216" spans="10:17" ht="15.75" customHeight="1" x14ac:dyDescent="0.25">
      <c r="J216" s="96"/>
      <c r="N216" s="97"/>
      <c r="O216" s="98"/>
      <c r="P216" s="99"/>
      <c r="Q216" s="100"/>
    </row>
    <row r="217" spans="10:17" ht="15.75" customHeight="1" x14ac:dyDescent="0.25">
      <c r="J217" s="96"/>
      <c r="N217" s="97"/>
      <c r="O217" s="98"/>
      <c r="P217" s="99"/>
      <c r="Q217" s="100"/>
    </row>
    <row r="218" spans="10:17" ht="15.75" customHeight="1" x14ac:dyDescent="0.25">
      <c r="J218" s="96"/>
      <c r="N218" s="97"/>
      <c r="O218" s="98"/>
      <c r="P218" s="99"/>
      <c r="Q218" s="100"/>
    </row>
    <row r="219" spans="10:17" ht="15.75" customHeight="1" x14ac:dyDescent="0.25">
      <c r="J219" s="96"/>
      <c r="N219" s="97"/>
      <c r="O219" s="98"/>
      <c r="P219" s="99"/>
      <c r="Q219" s="100"/>
    </row>
    <row r="220" spans="10:17" ht="15.75" customHeight="1" x14ac:dyDescent="0.25">
      <c r="J220" s="96"/>
      <c r="N220" s="97"/>
      <c r="O220" s="98"/>
      <c r="P220" s="99"/>
      <c r="Q220" s="100"/>
    </row>
    <row r="221" spans="10:17" ht="15.75" customHeight="1" x14ac:dyDescent="0.25">
      <c r="J221" s="96"/>
      <c r="N221" s="97"/>
      <c r="O221" s="98"/>
      <c r="P221" s="99"/>
      <c r="Q221" s="100"/>
    </row>
    <row r="222" spans="10:17" ht="15.75" customHeight="1" x14ac:dyDescent="0.25">
      <c r="J222" s="96"/>
      <c r="N222" s="97"/>
      <c r="O222" s="98"/>
      <c r="P222" s="99"/>
      <c r="Q222" s="100"/>
    </row>
    <row r="223" spans="10:17" ht="15.75" customHeight="1" x14ac:dyDescent="0.25">
      <c r="J223" s="96"/>
      <c r="N223" s="97"/>
      <c r="O223" s="98"/>
      <c r="P223" s="99"/>
      <c r="Q223" s="100"/>
    </row>
    <row r="224" spans="10:17" ht="15.75" customHeight="1" x14ac:dyDescent="0.25">
      <c r="J224" s="96"/>
      <c r="N224" s="97"/>
      <c r="O224" s="98"/>
      <c r="P224" s="99"/>
      <c r="Q224" s="100"/>
    </row>
    <row r="225" spans="10:17" ht="15.75" customHeight="1" x14ac:dyDescent="0.25">
      <c r="J225" s="96"/>
      <c r="N225" s="97"/>
      <c r="O225" s="98"/>
      <c r="P225" s="99"/>
      <c r="Q225" s="100"/>
    </row>
    <row r="226" spans="10:17" ht="15.75" customHeight="1" x14ac:dyDescent="0.25">
      <c r="J226" s="96"/>
      <c r="N226" s="97"/>
      <c r="O226" s="98"/>
      <c r="P226" s="99"/>
      <c r="Q226" s="100"/>
    </row>
    <row r="227" spans="10:17" ht="15.75" customHeight="1" x14ac:dyDescent="0.25">
      <c r="J227" s="96"/>
      <c r="N227" s="97"/>
      <c r="O227" s="98"/>
      <c r="P227" s="99"/>
      <c r="Q227" s="100"/>
    </row>
    <row r="228" spans="10:17" ht="15.75" customHeight="1" x14ac:dyDescent="0.25">
      <c r="J228" s="96"/>
      <c r="N228" s="97"/>
      <c r="O228" s="98"/>
      <c r="P228" s="99"/>
      <c r="Q228" s="100"/>
    </row>
    <row r="229" spans="10:17" ht="15.75" customHeight="1" x14ac:dyDescent="0.25">
      <c r="J229" s="96"/>
      <c r="N229" s="97"/>
      <c r="O229" s="98"/>
      <c r="P229" s="99"/>
      <c r="Q229" s="100"/>
    </row>
    <row r="230" spans="10:17" ht="15.75" customHeight="1" x14ac:dyDescent="0.25">
      <c r="J230" s="96"/>
      <c r="N230" s="97"/>
      <c r="O230" s="98"/>
      <c r="P230" s="99"/>
      <c r="Q230" s="100"/>
    </row>
    <row r="231" spans="10:17" ht="15.75" customHeight="1" x14ac:dyDescent="0.25">
      <c r="J231" s="96"/>
      <c r="N231" s="97"/>
      <c r="O231" s="98"/>
      <c r="P231" s="99"/>
      <c r="Q231" s="100"/>
    </row>
    <row r="232" spans="10:17" ht="15.75" customHeight="1" x14ac:dyDescent="0.25">
      <c r="J232" s="96"/>
      <c r="N232" s="97"/>
      <c r="O232" s="98"/>
      <c r="P232" s="99"/>
      <c r="Q232" s="100"/>
    </row>
    <row r="233" spans="10:17" ht="15.75" customHeight="1" x14ac:dyDescent="0.25">
      <c r="J233" s="96"/>
      <c r="N233" s="97"/>
      <c r="O233" s="98"/>
      <c r="P233" s="99"/>
      <c r="Q233" s="100"/>
    </row>
    <row r="234" spans="10:17" ht="15.75" customHeight="1" x14ac:dyDescent="0.25">
      <c r="J234" s="96"/>
      <c r="N234" s="97"/>
      <c r="O234" s="98"/>
      <c r="P234" s="99"/>
      <c r="Q234" s="100"/>
    </row>
    <row r="235" spans="10:17" ht="15.75" customHeight="1" x14ac:dyDescent="0.25">
      <c r="J235" s="96"/>
      <c r="N235" s="97"/>
      <c r="O235" s="98"/>
      <c r="P235" s="99"/>
      <c r="Q235" s="100"/>
    </row>
    <row r="236" spans="10:17" ht="15.75" customHeight="1" x14ac:dyDescent="0.25">
      <c r="J236" s="96"/>
      <c r="N236" s="97"/>
      <c r="O236" s="98"/>
      <c r="P236" s="99"/>
      <c r="Q236" s="100"/>
    </row>
    <row r="237" spans="10:17" ht="15.75" customHeight="1" x14ac:dyDescent="0.25">
      <c r="J237" s="96"/>
      <c r="N237" s="97"/>
      <c r="O237" s="98"/>
      <c r="P237" s="99"/>
      <c r="Q237" s="100"/>
    </row>
    <row r="238" spans="10:17" ht="15.75" customHeight="1" x14ac:dyDescent="0.25">
      <c r="J238" s="96"/>
      <c r="N238" s="97"/>
      <c r="O238" s="98"/>
      <c r="P238" s="99"/>
      <c r="Q238" s="100"/>
    </row>
    <row r="239" spans="10:17" ht="15.75" customHeight="1" x14ac:dyDescent="0.25">
      <c r="J239" s="96"/>
      <c r="N239" s="97"/>
      <c r="O239" s="98"/>
      <c r="P239" s="99"/>
      <c r="Q239" s="100"/>
    </row>
    <row r="240" spans="10:17" ht="15.75" customHeight="1" x14ac:dyDescent="0.25">
      <c r="J240" s="96"/>
      <c r="N240" s="97"/>
      <c r="O240" s="98"/>
      <c r="P240" s="99"/>
      <c r="Q240" s="100"/>
    </row>
    <row r="241" spans="10:17" ht="15.75" customHeight="1" x14ac:dyDescent="0.25">
      <c r="J241" s="96"/>
      <c r="N241" s="97"/>
      <c r="O241" s="98"/>
      <c r="P241" s="99"/>
      <c r="Q241" s="100"/>
    </row>
    <row r="242" spans="10:17" ht="15.75" customHeight="1" x14ac:dyDescent="0.25">
      <c r="J242" s="96"/>
      <c r="N242" s="97"/>
      <c r="O242" s="98"/>
      <c r="P242" s="99"/>
      <c r="Q242" s="100"/>
    </row>
    <row r="243" spans="10:17" ht="15.75" customHeight="1" x14ac:dyDescent="0.25">
      <c r="J243" s="96"/>
      <c r="N243" s="97"/>
      <c r="O243" s="98"/>
      <c r="P243" s="99"/>
      <c r="Q243" s="100"/>
    </row>
    <row r="244" spans="10:17" ht="15.75" customHeight="1" x14ac:dyDescent="0.25">
      <c r="J244" s="96"/>
      <c r="N244" s="97"/>
      <c r="O244" s="98"/>
      <c r="P244" s="99"/>
      <c r="Q244" s="100"/>
    </row>
    <row r="245" spans="10:17" ht="15.75" customHeight="1" x14ac:dyDescent="0.25">
      <c r="J245" s="96"/>
      <c r="N245" s="97"/>
      <c r="O245" s="98"/>
      <c r="P245" s="99"/>
      <c r="Q245" s="100"/>
    </row>
    <row r="246" spans="10:17" ht="15.75" customHeight="1" x14ac:dyDescent="0.25">
      <c r="J246" s="96"/>
      <c r="N246" s="97"/>
      <c r="O246" s="98"/>
      <c r="P246" s="99"/>
      <c r="Q246" s="100"/>
    </row>
    <row r="247" spans="10:17" ht="15.75" customHeight="1" x14ac:dyDescent="0.25">
      <c r="J247" s="96"/>
      <c r="N247" s="97"/>
      <c r="O247" s="98"/>
      <c r="P247" s="99"/>
      <c r="Q247" s="100"/>
    </row>
    <row r="248" spans="10:17" ht="15.75" customHeight="1" x14ac:dyDescent="0.25">
      <c r="J248" s="96"/>
      <c r="N248" s="97"/>
      <c r="O248" s="98"/>
      <c r="P248" s="99"/>
      <c r="Q248" s="100"/>
    </row>
    <row r="249" spans="10:17" ht="15.75" customHeight="1" x14ac:dyDescent="0.25">
      <c r="J249" s="96"/>
      <c r="N249" s="97"/>
      <c r="O249" s="98"/>
      <c r="P249" s="99"/>
      <c r="Q249" s="100"/>
    </row>
    <row r="250" spans="10:17" ht="15.75" customHeight="1" x14ac:dyDescent="0.25">
      <c r="J250" s="96"/>
      <c r="N250" s="97"/>
      <c r="O250" s="98"/>
      <c r="P250" s="99"/>
      <c r="Q250" s="100"/>
    </row>
    <row r="251" spans="10:17" ht="15.75" customHeight="1" x14ac:dyDescent="0.25">
      <c r="J251" s="96"/>
      <c r="N251" s="97"/>
      <c r="O251" s="98"/>
      <c r="P251" s="99"/>
      <c r="Q251" s="100"/>
    </row>
    <row r="252" spans="10:17" ht="15.75" customHeight="1" x14ac:dyDescent="0.25">
      <c r="J252" s="96"/>
      <c r="N252" s="97"/>
      <c r="O252" s="98"/>
      <c r="P252" s="99"/>
      <c r="Q252" s="100"/>
    </row>
    <row r="253" spans="10:17" ht="15.75" customHeight="1" x14ac:dyDescent="0.25">
      <c r="J253" s="96"/>
      <c r="N253" s="97"/>
      <c r="O253" s="98"/>
      <c r="P253" s="99"/>
      <c r="Q253" s="100"/>
    </row>
    <row r="254" spans="10:17" ht="15.75" customHeight="1" x14ac:dyDescent="0.25">
      <c r="J254" s="96"/>
      <c r="N254" s="97"/>
      <c r="O254" s="98"/>
      <c r="P254" s="99"/>
      <c r="Q254" s="100"/>
    </row>
    <row r="255" spans="10:17" ht="15.75" customHeight="1" x14ac:dyDescent="0.25">
      <c r="J255" s="96"/>
      <c r="N255" s="97"/>
      <c r="O255" s="98"/>
      <c r="P255" s="99"/>
      <c r="Q255" s="100"/>
    </row>
    <row r="256" spans="10:17" ht="15.75" customHeight="1" x14ac:dyDescent="0.25">
      <c r="J256" s="96"/>
      <c r="N256" s="97"/>
      <c r="O256" s="98"/>
      <c r="P256" s="99"/>
      <c r="Q256" s="100"/>
    </row>
    <row r="257" spans="10:17" ht="15.75" customHeight="1" x14ac:dyDescent="0.25">
      <c r="J257" s="96"/>
      <c r="N257" s="97"/>
      <c r="O257" s="98"/>
      <c r="P257" s="99"/>
      <c r="Q257" s="100"/>
    </row>
    <row r="258" spans="10:17" ht="15.75" customHeight="1" x14ac:dyDescent="0.25">
      <c r="J258" s="96"/>
      <c r="N258" s="97"/>
      <c r="O258" s="98"/>
      <c r="P258" s="99"/>
      <c r="Q258" s="100"/>
    </row>
    <row r="259" spans="10:17" ht="15.75" customHeight="1" x14ac:dyDescent="0.25">
      <c r="J259" s="96"/>
      <c r="N259" s="97"/>
      <c r="O259" s="98"/>
      <c r="P259" s="99"/>
      <c r="Q259" s="100"/>
    </row>
    <row r="260" spans="10:17" ht="15.75" customHeight="1" x14ac:dyDescent="0.25">
      <c r="J260" s="96"/>
      <c r="N260" s="97"/>
      <c r="O260" s="98"/>
      <c r="P260" s="99"/>
      <c r="Q260" s="100"/>
    </row>
    <row r="261" spans="10:17" ht="15.75" customHeight="1" x14ac:dyDescent="0.25">
      <c r="J261" s="96"/>
      <c r="N261" s="97"/>
      <c r="O261" s="98"/>
      <c r="P261" s="99"/>
      <c r="Q261" s="100"/>
    </row>
    <row r="262" spans="10:17" ht="15.75" customHeight="1" x14ac:dyDescent="0.25">
      <c r="J262" s="96"/>
      <c r="N262" s="97"/>
      <c r="O262" s="98"/>
      <c r="P262" s="99"/>
      <c r="Q262" s="100"/>
    </row>
    <row r="263" spans="10:17" ht="15.75" customHeight="1" x14ac:dyDescent="0.25">
      <c r="J263" s="96"/>
      <c r="N263" s="97"/>
      <c r="O263" s="98"/>
      <c r="P263" s="99"/>
      <c r="Q263" s="100"/>
    </row>
    <row r="264" spans="10:17" ht="15.75" customHeight="1" x14ac:dyDescent="0.25">
      <c r="J264" s="96"/>
      <c r="N264" s="97"/>
      <c r="O264" s="98"/>
      <c r="P264" s="99"/>
      <c r="Q264" s="100"/>
    </row>
    <row r="265" spans="10:17" ht="15.75" customHeight="1" x14ac:dyDescent="0.25">
      <c r="J265" s="96"/>
      <c r="N265" s="97"/>
      <c r="O265" s="98"/>
      <c r="P265" s="99"/>
      <c r="Q265" s="100"/>
    </row>
    <row r="266" spans="10:17" ht="15.75" customHeight="1" x14ac:dyDescent="0.25">
      <c r="J266" s="96"/>
      <c r="N266" s="97"/>
      <c r="O266" s="98"/>
      <c r="P266" s="99"/>
      <c r="Q266" s="100"/>
    </row>
    <row r="267" spans="10:17" ht="15.75" customHeight="1" x14ac:dyDescent="0.25">
      <c r="J267" s="96"/>
      <c r="N267" s="97"/>
      <c r="O267" s="98"/>
      <c r="P267" s="99"/>
      <c r="Q267" s="100"/>
    </row>
    <row r="268" spans="10:17" ht="15.75" customHeight="1" x14ac:dyDescent="0.25">
      <c r="J268" s="96"/>
      <c r="N268" s="97"/>
      <c r="O268" s="98"/>
      <c r="P268" s="99"/>
      <c r="Q268" s="100"/>
    </row>
    <row r="269" spans="10:17" ht="15.75" customHeight="1" x14ac:dyDescent="0.25">
      <c r="J269" s="96"/>
      <c r="N269" s="97"/>
      <c r="O269" s="98"/>
      <c r="P269" s="99"/>
      <c r="Q269" s="100"/>
    </row>
    <row r="270" spans="10:17" ht="15.75" customHeight="1" x14ac:dyDescent="0.25">
      <c r="J270" s="96"/>
      <c r="N270" s="97"/>
      <c r="O270" s="98"/>
      <c r="P270" s="99"/>
      <c r="Q270" s="100"/>
    </row>
    <row r="271" spans="10:17" ht="15.75" customHeight="1" x14ac:dyDescent="0.25">
      <c r="J271" s="96"/>
      <c r="N271" s="97"/>
      <c r="O271" s="98"/>
      <c r="P271" s="99"/>
      <c r="Q271" s="100"/>
    </row>
    <row r="272" spans="10:17" ht="15.75" customHeight="1" x14ac:dyDescent="0.25">
      <c r="J272" s="96"/>
      <c r="N272" s="97"/>
      <c r="O272" s="98"/>
      <c r="P272" s="99"/>
      <c r="Q272" s="100"/>
    </row>
    <row r="273" spans="10:17" ht="15.75" customHeight="1" x14ac:dyDescent="0.25">
      <c r="J273" s="96"/>
      <c r="N273" s="97"/>
      <c r="O273" s="98"/>
      <c r="P273" s="99"/>
      <c r="Q273" s="100"/>
    </row>
    <row r="274" spans="10:17" ht="15.75" customHeight="1" x14ac:dyDescent="0.25">
      <c r="J274" s="96"/>
      <c r="N274" s="97"/>
      <c r="O274" s="98"/>
      <c r="P274" s="99"/>
      <c r="Q274" s="100"/>
    </row>
    <row r="275" spans="10:17" ht="15.75" customHeight="1" x14ac:dyDescent="0.25">
      <c r="J275" s="96"/>
      <c r="N275" s="97"/>
      <c r="O275" s="98"/>
      <c r="P275" s="99"/>
      <c r="Q275" s="100"/>
    </row>
    <row r="276" spans="10:17" ht="15.75" customHeight="1" x14ac:dyDescent="0.25">
      <c r="J276" s="96"/>
      <c r="N276" s="97"/>
      <c r="O276" s="98"/>
      <c r="P276" s="99"/>
      <c r="Q276" s="100"/>
    </row>
    <row r="277" spans="10:17" ht="15.75" customHeight="1" x14ac:dyDescent="0.25">
      <c r="J277" s="96"/>
      <c r="N277" s="97"/>
      <c r="O277" s="98"/>
      <c r="P277" s="99"/>
      <c r="Q277" s="100"/>
    </row>
    <row r="278" spans="10:17" ht="15.75" customHeight="1" x14ac:dyDescent="0.25">
      <c r="J278" s="96"/>
      <c r="N278" s="97"/>
      <c r="O278" s="98"/>
      <c r="P278" s="99"/>
      <c r="Q278" s="100"/>
    </row>
    <row r="279" spans="10:17" ht="15.75" customHeight="1" x14ac:dyDescent="0.25">
      <c r="J279" s="96"/>
      <c r="N279" s="97"/>
      <c r="O279" s="98"/>
      <c r="P279" s="99"/>
      <c r="Q279" s="100"/>
    </row>
    <row r="280" spans="10:17" ht="15.75" customHeight="1" x14ac:dyDescent="0.25">
      <c r="J280" s="96"/>
      <c r="N280" s="97"/>
      <c r="O280" s="98"/>
      <c r="P280" s="99"/>
      <c r="Q280" s="100"/>
    </row>
    <row r="281" spans="10:17" ht="15.75" customHeight="1" x14ac:dyDescent="0.25">
      <c r="J281" s="96"/>
      <c r="N281" s="97"/>
      <c r="O281" s="98"/>
      <c r="P281" s="99"/>
      <c r="Q281" s="100"/>
    </row>
    <row r="282" spans="10:17" ht="15.75" customHeight="1" x14ac:dyDescent="0.25">
      <c r="J282" s="96"/>
      <c r="N282" s="97"/>
      <c r="O282" s="98"/>
      <c r="P282" s="99"/>
      <c r="Q282" s="100"/>
    </row>
    <row r="283" spans="10:17" ht="15.75" customHeight="1" x14ac:dyDescent="0.25">
      <c r="J283" s="96"/>
      <c r="N283" s="97"/>
      <c r="O283" s="98"/>
      <c r="P283" s="99"/>
      <c r="Q283" s="100"/>
    </row>
    <row r="284" spans="10:17" ht="15.75" customHeight="1" x14ac:dyDescent="0.25">
      <c r="J284" s="96"/>
      <c r="N284" s="97"/>
      <c r="O284" s="98"/>
      <c r="P284" s="99"/>
      <c r="Q284" s="100"/>
    </row>
    <row r="285" spans="10:17" ht="15.75" customHeight="1" x14ac:dyDescent="0.25">
      <c r="J285" s="96"/>
      <c r="N285" s="97"/>
      <c r="O285" s="98"/>
      <c r="P285" s="99"/>
      <c r="Q285" s="100"/>
    </row>
    <row r="286" spans="10:17" ht="15.75" customHeight="1" x14ac:dyDescent="0.25">
      <c r="J286" s="96"/>
      <c r="N286" s="97"/>
      <c r="O286" s="98"/>
      <c r="P286" s="99"/>
      <c r="Q286" s="100"/>
    </row>
    <row r="287" spans="10:17" ht="15.75" customHeight="1" x14ac:dyDescent="0.25">
      <c r="J287" s="96"/>
      <c r="N287" s="97"/>
      <c r="O287" s="98"/>
      <c r="P287" s="99"/>
      <c r="Q287" s="100"/>
    </row>
    <row r="288" spans="10:17" ht="15.75" customHeight="1" x14ac:dyDescent="0.25">
      <c r="J288" s="96"/>
      <c r="N288" s="97"/>
      <c r="O288" s="98"/>
      <c r="P288" s="99"/>
      <c r="Q288" s="100"/>
    </row>
    <row r="289" spans="10:17" ht="15.75" customHeight="1" x14ac:dyDescent="0.25">
      <c r="J289" s="96"/>
      <c r="N289" s="97"/>
      <c r="O289" s="98"/>
      <c r="P289" s="99"/>
      <c r="Q289" s="100"/>
    </row>
    <row r="290" spans="10:17" ht="15.75" customHeight="1" x14ac:dyDescent="0.25">
      <c r="J290" s="96"/>
      <c r="N290" s="97"/>
      <c r="O290" s="98"/>
      <c r="P290" s="99"/>
      <c r="Q290" s="100"/>
    </row>
    <row r="291" spans="10:17" ht="15.75" customHeight="1" x14ac:dyDescent="0.25">
      <c r="J291" s="96"/>
      <c r="N291" s="97"/>
      <c r="O291" s="98"/>
      <c r="P291" s="99"/>
      <c r="Q291" s="100"/>
    </row>
    <row r="292" spans="10:17" ht="15.75" customHeight="1" x14ac:dyDescent="0.25">
      <c r="J292" s="96"/>
      <c r="N292" s="97"/>
      <c r="O292" s="98"/>
      <c r="P292" s="99"/>
      <c r="Q292" s="100"/>
    </row>
    <row r="293" spans="10:17" ht="15.75" customHeight="1" x14ac:dyDescent="0.25">
      <c r="J293" s="96"/>
      <c r="N293" s="97"/>
      <c r="O293" s="98"/>
      <c r="P293" s="99"/>
      <c r="Q293" s="100"/>
    </row>
    <row r="294" spans="10:17" ht="15.75" customHeight="1" x14ac:dyDescent="0.25">
      <c r="J294" s="96"/>
      <c r="N294" s="97"/>
      <c r="O294" s="98"/>
      <c r="P294" s="99"/>
      <c r="Q294" s="100"/>
    </row>
    <row r="295" spans="10:17" ht="15.75" customHeight="1" x14ac:dyDescent="0.25">
      <c r="J295" s="96"/>
      <c r="N295" s="97"/>
      <c r="O295" s="98"/>
      <c r="P295" s="99"/>
      <c r="Q295" s="100"/>
    </row>
    <row r="296" spans="10:17" ht="15.75" customHeight="1" x14ac:dyDescent="0.25">
      <c r="J296" s="96"/>
      <c r="N296" s="97"/>
      <c r="O296" s="98"/>
      <c r="P296" s="99"/>
      <c r="Q296" s="100"/>
    </row>
    <row r="297" spans="10:17" ht="15.75" customHeight="1" x14ac:dyDescent="0.25">
      <c r="J297" s="96"/>
      <c r="N297" s="97"/>
      <c r="O297" s="98"/>
      <c r="P297" s="99"/>
      <c r="Q297" s="100"/>
    </row>
    <row r="298" spans="10:17" ht="15.75" customHeight="1" x14ac:dyDescent="0.25">
      <c r="J298" s="96"/>
      <c r="N298" s="97"/>
      <c r="O298" s="98"/>
      <c r="P298" s="99"/>
      <c r="Q298" s="100"/>
    </row>
    <row r="299" spans="10:17" ht="15.75" customHeight="1" x14ac:dyDescent="0.25">
      <c r="J299" s="96"/>
      <c r="N299" s="97"/>
      <c r="O299" s="98"/>
      <c r="P299" s="99"/>
      <c r="Q299" s="100"/>
    </row>
    <row r="300" spans="10:17" ht="15.75" customHeight="1" x14ac:dyDescent="0.25">
      <c r="J300" s="96"/>
      <c r="N300" s="97"/>
      <c r="O300" s="98"/>
      <c r="P300" s="99"/>
      <c r="Q300" s="100"/>
    </row>
    <row r="301" spans="10:17" ht="15.75" customHeight="1" x14ac:dyDescent="0.25">
      <c r="J301" s="96"/>
      <c r="N301" s="97"/>
      <c r="O301" s="98"/>
      <c r="P301" s="99"/>
      <c r="Q301" s="100"/>
    </row>
    <row r="302" spans="10:17" ht="15.75" customHeight="1" x14ac:dyDescent="0.25">
      <c r="J302" s="96"/>
      <c r="N302" s="97"/>
      <c r="O302" s="98"/>
      <c r="P302" s="99"/>
      <c r="Q302" s="100"/>
    </row>
    <row r="303" spans="10:17" ht="15.75" customHeight="1" x14ac:dyDescent="0.25">
      <c r="J303" s="96"/>
      <c r="N303" s="97"/>
      <c r="O303" s="98"/>
      <c r="P303" s="99"/>
      <c r="Q303" s="100"/>
    </row>
    <row r="304" spans="10:17" ht="15.75" customHeight="1" x14ac:dyDescent="0.25">
      <c r="J304" s="96"/>
      <c r="N304" s="97"/>
      <c r="O304" s="98"/>
      <c r="P304" s="99"/>
      <c r="Q304" s="100"/>
    </row>
    <row r="305" spans="10:17" ht="15.75" customHeight="1" x14ac:dyDescent="0.25">
      <c r="J305" s="96"/>
      <c r="N305" s="97"/>
      <c r="O305" s="98"/>
      <c r="P305" s="99"/>
      <c r="Q305" s="100"/>
    </row>
    <row r="306" spans="10:17" ht="15.75" customHeight="1" x14ac:dyDescent="0.25">
      <c r="J306" s="96"/>
      <c r="N306" s="97"/>
      <c r="O306" s="98"/>
      <c r="P306" s="99"/>
      <c r="Q306" s="100"/>
    </row>
    <row r="307" spans="10:17" ht="15.75" customHeight="1" x14ac:dyDescent="0.25">
      <c r="J307" s="96"/>
      <c r="N307" s="97"/>
      <c r="O307" s="98"/>
      <c r="P307" s="99"/>
      <c r="Q307" s="100"/>
    </row>
    <row r="308" spans="10:17" ht="15.75" customHeight="1" x14ac:dyDescent="0.25">
      <c r="J308" s="96"/>
      <c r="N308" s="97"/>
      <c r="O308" s="98"/>
      <c r="P308" s="99"/>
      <c r="Q308" s="100"/>
    </row>
    <row r="309" spans="10:17" ht="15.75" customHeight="1" x14ac:dyDescent="0.25">
      <c r="J309" s="96"/>
      <c r="N309" s="97"/>
      <c r="O309" s="98"/>
      <c r="P309" s="99"/>
      <c r="Q309" s="100"/>
    </row>
    <row r="310" spans="10:17" ht="15.75" customHeight="1" x14ac:dyDescent="0.25">
      <c r="J310" s="96"/>
      <c r="N310" s="97"/>
      <c r="O310" s="98"/>
      <c r="P310" s="99"/>
      <c r="Q310" s="100"/>
    </row>
    <row r="311" spans="10:17" ht="15.75" customHeight="1" x14ac:dyDescent="0.25">
      <c r="J311" s="96"/>
      <c r="N311" s="97"/>
      <c r="O311" s="98"/>
      <c r="P311" s="99"/>
      <c r="Q311" s="100"/>
    </row>
    <row r="312" spans="10:17" ht="15.75" customHeight="1" x14ac:dyDescent="0.25">
      <c r="J312" s="96"/>
      <c r="N312" s="97"/>
      <c r="O312" s="98"/>
      <c r="P312" s="99"/>
      <c r="Q312" s="100"/>
    </row>
    <row r="313" spans="10:17" ht="15.75" customHeight="1" x14ac:dyDescent="0.25">
      <c r="J313" s="96"/>
      <c r="N313" s="97"/>
      <c r="O313" s="98"/>
      <c r="P313" s="99"/>
      <c r="Q313" s="100"/>
    </row>
    <row r="314" spans="10:17" ht="15.75" customHeight="1" x14ac:dyDescent="0.25">
      <c r="J314" s="96"/>
      <c r="N314" s="97"/>
      <c r="O314" s="98"/>
      <c r="P314" s="99"/>
      <c r="Q314" s="100"/>
    </row>
    <row r="315" spans="10:17" ht="15.75" customHeight="1" x14ac:dyDescent="0.25">
      <c r="J315" s="96"/>
      <c r="N315" s="97"/>
      <c r="O315" s="98"/>
      <c r="P315" s="99"/>
      <c r="Q315" s="100"/>
    </row>
    <row r="316" spans="10:17" ht="15.75" customHeight="1" x14ac:dyDescent="0.25">
      <c r="J316" s="96"/>
      <c r="N316" s="97"/>
      <c r="O316" s="98"/>
      <c r="P316" s="99"/>
      <c r="Q316" s="100"/>
    </row>
    <row r="317" spans="10:17" ht="15.75" customHeight="1" x14ac:dyDescent="0.25">
      <c r="J317" s="96"/>
      <c r="N317" s="97"/>
      <c r="O317" s="98"/>
      <c r="P317" s="99"/>
      <c r="Q317" s="100"/>
    </row>
    <row r="318" spans="10:17" ht="15.75" customHeight="1" x14ac:dyDescent="0.25">
      <c r="J318" s="96"/>
      <c r="N318" s="97"/>
      <c r="O318" s="98"/>
      <c r="P318" s="99"/>
      <c r="Q318" s="100"/>
    </row>
    <row r="319" spans="10:17" ht="15.75" customHeight="1" x14ac:dyDescent="0.25">
      <c r="J319" s="96"/>
      <c r="N319" s="97"/>
      <c r="O319" s="98"/>
      <c r="P319" s="99"/>
      <c r="Q319" s="100"/>
    </row>
    <row r="320" spans="10:17" ht="15.75" customHeight="1" x14ac:dyDescent="0.25">
      <c r="J320" s="96"/>
      <c r="N320" s="97"/>
      <c r="O320" s="98"/>
      <c r="P320" s="99"/>
      <c r="Q320" s="100"/>
    </row>
    <row r="321" spans="10:17" ht="15.75" customHeight="1" x14ac:dyDescent="0.25">
      <c r="J321" s="96"/>
      <c r="N321" s="97"/>
      <c r="O321" s="98"/>
      <c r="P321" s="99"/>
      <c r="Q321" s="100"/>
    </row>
    <row r="322" spans="10:17" ht="15.75" customHeight="1" x14ac:dyDescent="0.25">
      <c r="J322" s="96"/>
      <c r="N322" s="97"/>
      <c r="O322" s="98"/>
      <c r="P322" s="99"/>
      <c r="Q322" s="100"/>
    </row>
    <row r="323" spans="10:17" ht="15.75" customHeight="1" x14ac:dyDescent="0.25">
      <c r="J323" s="96"/>
      <c r="N323" s="97"/>
      <c r="O323" s="98"/>
      <c r="P323" s="99"/>
      <c r="Q323" s="100"/>
    </row>
    <row r="324" spans="10:17" ht="15.75" customHeight="1" x14ac:dyDescent="0.25">
      <c r="J324" s="96"/>
      <c r="N324" s="97"/>
      <c r="O324" s="98"/>
      <c r="P324" s="99"/>
      <c r="Q324" s="100"/>
    </row>
    <row r="325" spans="10:17" ht="15.75" customHeight="1" x14ac:dyDescent="0.25">
      <c r="J325" s="96"/>
      <c r="N325" s="97"/>
      <c r="O325" s="98"/>
      <c r="P325" s="99"/>
      <c r="Q325" s="100"/>
    </row>
    <row r="326" spans="10:17" ht="15.75" customHeight="1" x14ac:dyDescent="0.25">
      <c r="J326" s="96"/>
      <c r="N326" s="97"/>
      <c r="O326" s="98"/>
      <c r="P326" s="99"/>
      <c r="Q326" s="100"/>
    </row>
    <row r="327" spans="10:17" ht="15.75" customHeight="1" x14ac:dyDescent="0.25">
      <c r="J327" s="96"/>
      <c r="N327" s="97"/>
      <c r="O327" s="98"/>
      <c r="P327" s="99"/>
      <c r="Q327" s="100"/>
    </row>
    <row r="328" spans="10:17" ht="15.75" customHeight="1" x14ac:dyDescent="0.25">
      <c r="J328" s="96"/>
      <c r="N328" s="97"/>
      <c r="O328" s="98"/>
      <c r="P328" s="99"/>
      <c r="Q328" s="100"/>
    </row>
    <row r="329" spans="10:17" ht="15.75" customHeight="1" x14ac:dyDescent="0.25">
      <c r="J329" s="96"/>
      <c r="N329" s="97"/>
      <c r="O329" s="98"/>
      <c r="P329" s="99"/>
      <c r="Q329" s="100"/>
    </row>
    <row r="330" spans="10:17" ht="15.75" customHeight="1" x14ac:dyDescent="0.25">
      <c r="J330" s="96"/>
      <c r="N330" s="97"/>
      <c r="O330" s="98"/>
      <c r="P330" s="99"/>
      <c r="Q330" s="100"/>
    </row>
    <row r="331" spans="10:17" ht="15.75" customHeight="1" x14ac:dyDescent="0.25">
      <c r="J331" s="96"/>
      <c r="N331" s="97"/>
      <c r="O331" s="98"/>
      <c r="P331" s="99"/>
      <c r="Q331" s="100"/>
    </row>
    <row r="332" spans="10:17" ht="15.75" customHeight="1" x14ac:dyDescent="0.25">
      <c r="J332" s="96"/>
      <c r="N332" s="97"/>
      <c r="O332" s="98"/>
      <c r="P332" s="99"/>
      <c r="Q332" s="100"/>
    </row>
    <row r="333" spans="10:17" ht="15.75" customHeight="1" x14ac:dyDescent="0.25">
      <c r="J333" s="96"/>
      <c r="N333" s="97"/>
      <c r="O333" s="98"/>
      <c r="P333" s="99"/>
      <c r="Q333" s="100"/>
    </row>
    <row r="334" spans="10:17" ht="15.75" customHeight="1" x14ac:dyDescent="0.25">
      <c r="J334" s="96"/>
      <c r="N334" s="97"/>
      <c r="O334" s="98"/>
      <c r="P334" s="99"/>
      <c r="Q334" s="100"/>
    </row>
    <row r="335" spans="10:17" ht="15.75" customHeight="1" x14ac:dyDescent="0.25">
      <c r="J335" s="96"/>
      <c r="N335" s="97"/>
      <c r="O335" s="98"/>
      <c r="P335" s="99"/>
      <c r="Q335" s="100"/>
    </row>
    <row r="336" spans="10:17" ht="15.75" customHeight="1" x14ac:dyDescent="0.25">
      <c r="J336" s="96"/>
      <c r="N336" s="97"/>
      <c r="O336" s="98"/>
      <c r="P336" s="99"/>
      <c r="Q336" s="100"/>
    </row>
    <row r="337" spans="10:17" ht="15.75" customHeight="1" x14ac:dyDescent="0.25">
      <c r="J337" s="96"/>
      <c r="N337" s="97"/>
      <c r="O337" s="98"/>
      <c r="P337" s="99"/>
      <c r="Q337" s="100"/>
    </row>
    <row r="338" spans="10:17" ht="15.75" customHeight="1" x14ac:dyDescent="0.25">
      <c r="J338" s="96"/>
      <c r="N338" s="97"/>
      <c r="O338" s="98"/>
      <c r="P338" s="99"/>
      <c r="Q338" s="100"/>
    </row>
    <row r="339" spans="10:17" ht="15.75" customHeight="1" x14ac:dyDescent="0.25">
      <c r="J339" s="96"/>
      <c r="N339" s="97"/>
      <c r="O339" s="98"/>
      <c r="P339" s="99"/>
      <c r="Q339" s="100"/>
    </row>
    <row r="340" spans="10:17" ht="15.75" customHeight="1" x14ac:dyDescent="0.25">
      <c r="J340" s="96"/>
      <c r="N340" s="97"/>
      <c r="O340" s="98"/>
      <c r="P340" s="99"/>
      <c r="Q340" s="100"/>
    </row>
    <row r="341" spans="10:17" ht="15.75" customHeight="1" x14ac:dyDescent="0.25">
      <c r="J341" s="96"/>
      <c r="N341" s="97"/>
      <c r="O341" s="98"/>
      <c r="P341" s="99"/>
      <c r="Q341" s="100"/>
    </row>
    <row r="342" spans="10:17" ht="15.75" customHeight="1" x14ac:dyDescent="0.25">
      <c r="J342" s="96"/>
      <c r="N342" s="97"/>
      <c r="O342" s="98"/>
      <c r="P342" s="99"/>
      <c r="Q342" s="100"/>
    </row>
    <row r="343" spans="10:17" ht="15.75" customHeight="1" x14ac:dyDescent="0.25">
      <c r="J343" s="96"/>
      <c r="N343" s="97"/>
      <c r="O343" s="98"/>
      <c r="P343" s="99"/>
      <c r="Q343" s="100"/>
    </row>
    <row r="344" spans="10:17" ht="15.75" customHeight="1" x14ac:dyDescent="0.25">
      <c r="J344" s="96"/>
      <c r="N344" s="97"/>
      <c r="O344" s="98"/>
      <c r="P344" s="99"/>
      <c r="Q344" s="100"/>
    </row>
    <row r="345" spans="10:17" ht="15.75" customHeight="1" x14ac:dyDescent="0.25">
      <c r="J345" s="96"/>
      <c r="N345" s="97"/>
      <c r="O345" s="98"/>
      <c r="P345" s="99"/>
      <c r="Q345" s="100"/>
    </row>
    <row r="346" spans="10:17" ht="15.75" customHeight="1" x14ac:dyDescent="0.25">
      <c r="J346" s="96"/>
      <c r="N346" s="97"/>
      <c r="O346" s="98"/>
      <c r="P346" s="99"/>
      <c r="Q346" s="100"/>
    </row>
    <row r="347" spans="10:17" ht="15.75" customHeight="1" x14ac:dyDescent="0.25">
      <c r="J347" s="96"/>
      <c r="N347" s="97"/>
      <c r="O347" s="98"/>
      <c r="P347" s="99"/>
      <c r="Q347" s="100"/>
    </row>
    <row r="348" spans="10:17" ht="15.75" customHeight="1" x14ac:dyDescent="0.25">
      <c r="J348" s="96"/>
      <c r="N348" s="97"/>
      <c r="O348" s="98"/>
      <c r="P348" s="99"/>
      <c r="Q348" s="100"/>
    </row>
    <row r="349" spans="10:17" ht="15.75" customHeight="1" x14ac:dyDescent="0.25">
      <c r="J349" s="96"/>
      <c r="N349" s="97"/>
      <c r="O349" s="98"/>
      <c r="P349" s="99"/>
      <c r="Q349" s="100"/>
    </row>
    <row r="350" spans="10:17" ht="15.75" customHeight="1" x14ac:dyDescent="0.25">
      <c r="J350" s="96"/>
      <c r="N350" s="97"/>
      <c r="O350" s="98"/>
      <c r="P350" s="99"/>
      <c r="Q350" s="100"/>
    </row>
    <row r="351" spans="10:17" ht="15.75" customHeight="1" x14ac:dyDescent="0.25">
      <c r="J351" s="96"/>
      <c r="N351" s="97"/>
      <c r="O351" s="98"/>
      <c r="P351" s="99"/>
      <c r="Q351" s="100"/>
    </row>
    <row r="352" spans="10:17" ht="15.75" customHeight="1" x14ac:dyDescent="0.25">
      <c r="J352" s="96"/>
      <c r="N352" s="97"/>
      <c r="O352" s="98"/>
      <c r="P352" s="99"/>
      <c r="Q352" s="100"/>
    </row>
    <row r="353" spans="10:17" ht="15.75" customHeight="1" x14ac:dyDescent="0.25">
      <c r="J353" s="96"/>
      <c r="N353" s="97"/>
      <c r="O353" s="98"/>
      <c r="P353" s="99"/>
      <c r="Q353" s="100"/>
    </row>
    <row r="354" spans="10:17" ht="15.75" customHeight="1" x14ac:dyDescent="0.25">
      <c r="J354" s="96"/>
      <c r="N354" s="97"/>
      <c r="O354" s="98"/>
      <c r="P354" s="99"/>
      <c r="Q354" s="100"/>
    </row>
    <row r="355" spans="10:17" ht="15.75" customHeight="1" x14ac:dyDescent="0.25">
      <c r="J355" s="96"/>
      <c r="N355" s="97"/>
      <c r="O355" s="98"/>
      <c r="P355" s="99"/>
      <c r="Q355" s="100"/>
    </row>
    <row r="356" spans="10:17" ht="15.75" customHeight="1" x14ac:dyDescent="0.25">
      <c r="J356" s="96"/>
      <c r="N356" s="97"/>
      <c r="O356" s="98"/>
      <c r="P356" s="99"/>
      <c r="Q356" s="100"/>
    </row>
    <row r="357" spans="10:17" ht="15.75" customHeight="1" x14ac:dyDescent="0.25">
      <c r="J357" s="96"/>
      <c r="N357" s="97"/>
      <c r="O357" s="98"/>
      <c r="P357" s="99"/>
      <c r="Q357" s="100"/>
    </row>
    <row r="358" spans="10:17" ht="15.75" customHeight="1" x14ac:dyDescent="0.25">
      <c r="J358" s="96"/>
      <c r="N358" s="97"/>
      <c r="O358" s="98"/>
      <c r="P358" s="99"/>
      <c r="Q358" s="100"/>
    </row>
    <row r="359" spans="10:17" ht="15.75" customHeight="1" x14ac:dyDescent="0.25">
      <c r="J359" s="96"/>
      <c r="N359" s="97"/>
      <c r="O359" s="98"/>
      <c r="P359" s="99"/>
      <c r="Q359" s="100"/>
    </row>
    <row r="360" spans="10:17" ht="15.75" customHeight="1" x14ac:dyDescent="0.25">
      <c r="J360" s="96"/>
      <c r="N360" s="97"/>
      <c r="O360" s="98"/>
      <c r="P360" s="99"/>
      <c r="Q360" s="100"/>
    </row>
    <row r="361" spans="10:17" ht="15.75" customHeight="1" x14ac:dyDescent="0.25">
      <c r="J361" s="96"/>
      <c r="N361" s="97"/>
      <c r="O361" s="98"/>
      <c r="P361" s="99"/>
      <c r="Q361" s="100"/>
    </row>
    <row r="362" spans="10:17" ht="15.75" customHeight="1" x14ac:dyDescent="0.25">
      <c r="J362" s="96"/>
      <c r="N362" s="97"/>
      <c r="O362" s="98"/>
      <c r="P362" s="99"/>
      <c r="Q362" s="100"/>
    </row>
    <row r="363" spans="10:17" ht="15.75" customHeight="1" x14ac:dyDescent="0.25">
      <c r="J363" s="96"/>
      <c r="N363" s="97"/>
      <c r="O363" s="98"/>
      <c r="P363" s="99"/>
      <c r="Q363" s="100"/>
    </row>
    <row r="364" spans="10:17" ht="15.75" customHeight="1" x14ac:dyDescent="0.25">
      <c r="J364" s="96"/>
      <c r="N364" s="97"/>
      <c r="O364" s="98"/>
      <c r="P364" s="99"/>
      <c r="Q364" s="100"/>
    </row>
    <row r="365" spans="10:17" ht="15.75" customHeight="1" x14ac:dyDescent="0.25">
      <c r="J365" s="96"/>
      <c r="N365" s="97"/>
      <c r="O365" s="98"/>
      <c r="P365" s="99"/>
      <c r="Q365" s="100"/>
    </row>
    <row r="366" spans="10:17" ht="15.75" customHeight="1" x14ac:dyDescent="0.25">
      <c r="J366" s="96"/>
      <c r="N366" s="97"/>
      <c r="O366" s="98"/>
      <c r="P366" s="99"/>
      <c r="Q366" s="100"/>
    </row>
    <row r="367" spans="10:17" ht="15.75" customHeight="1" x14ac:dyDescent="0.25">
      <c r="J367" s="96"/>
      <c r="N367" s="97"/>
      <c r="O367" s="98"/>
      <c r="P367" s="99"/>
      <c r="Q367" s="100"/>
    </row>
    <row r="368" spans="10:17" ht="15.75" customHeight="1" x14ac:dyDescent="0.25">
      <c r="J368" s="96"/>
      <c r="N368" s="97"/>
      <c r="O368" s="98"/>
      <c r="P368" s="99"/>
      <c r="Q368" s="100"/>
    </row>
    <row r="369" spans="10:17" ht="15.75" customHeight="1" x14ac:dyDescent="0.25">
      <c r="J369" s="96"/>
      <c r="N369" s="97"/>
      <c r="O369" s="98"/>
      <c r="P369" s="99"/>
      <c r="Q369" s="100"/>
    </row>
    <row r="370" spans="10:17" ht="15.75" customHeight="1" x14ac:dyDescent="0.25">
      <c r="J370" s="96"/>
      <c r="N370" s="97"/>
      <c r="O370" s="98"/>
      <c r="P370" s="99"/>
      <c r="Q370" s="100"/>
    </row>
    <row r="371" spans="10:17" ht="15.75" customHeight="1" x14ac:dyDescent="0.25">
      <c r="J371" s="96"/>
      <c r="N371" s="97"/>
      <c r="O371" s="98"/>
      <c r="P371" s="99"/>
      <c r="Q371" s="100"/>
    </row>
    <row r="372" spans="10:17" ht="15.75" customHeight="1" x14ac:dyDescent="0.25">
      <c r="J372" s="96"/>
      <c r="N372" s="97"/>
      <c r="O372" s="98"/>
      <c r="P372" s="99"/>
      <c r="Q372" s="100"/>
    </row>
    <row r="373" spans="10:17" ht="15.75" customHeight="1" x14ac:dyDescent="0.25">
      <c r="J373" s="96"/>
      <c r="N373" s="97"/>
      <c r="O373" s="98"/>
      <c r="P373" s="99"/>
      <c r="Q373" s="100"/>
    </row>
    <row r="374" spans="10:17" ht="15.75" customHeight="1" x14ac:dyDescent="0.25">
      <c r="J374" s="96"/>
      <c r="N374" s="97"/>
      <c r="O374" s="98"/>
      <c r="P374" s="99"/>
      <c r="Q374" s="100"/>
    </row>
    <row r="375" spans="10:17" ht="15.75" customHeight="1" x14ac:dyDescent="0.25">
      <c r="J375" s="96"/>
      <c r="N375" s="97"/>
      <c r="O375" s="98"/>
      <c r="P375" s="99"/>
      <c r="Q375" s="100"/>
    </row>
    <row r="376" spans="10:17" ht="15.75" customHeight="1" x14ac:dyDescent="0.25">
      <c r="J376" s="96"/>
      <c r="N376" s="97"/>
      <c r="O376" s="98"/>
      <c r="P376" s="99"/>
      <c r="Q376" s="100"/>
    </row>
    <row r="377" spans="10:17" ht="15.75" customHeight="1" x14ac:dyDescent="0.25">
      <c r="J377" s="96"/>
      <c r="N377" s="97"/>
      <c r="O377" s="98"/>
      <c r="P377" s="99"/>
      <c r="Q377" s="100"/>
    </row>
    <row r="378" spans="10:17" ht="15.75" customHeight="1" x14ac:dyDescent="0.25">
      <c r="J378" s="96"/>
      <c r="N378" s="97"/>
      <c r="O378" s="98"/>
      <c r="P378" s="99"/>
      <c r="Q378" s="100"/>
    </row>
    <row r="379" spans="10:17" ht="15.75" customHeight="1" x14ac:dyDescent="0.25">
      <c r="J379" s="96"/>
      <c r="N379" s="97"/>
      <c r="O379" s="98"/>
      <c r="P379" s="99"/>
      <c r="Q379" s="100"/>
    </row>
    <row r="380" spans="10:17" ht="15.75" customHeight="1" x14ac:dyDescent="0.25">
      <c r="J380" s="96"/>
      <c r="N380" s="97"/>
      <c r="O380" s="98"/>
      <c r="P380" s="99"/>
      <c r="Q380" s="100"/>
    </row>
    <row r="381" spans="10:17" ht="15.75" customHeight="1" x14ac:dyDescent="0.25">
      <c r="J381" s="96"/>
      <c r="N381" s="97"/>
      <c r="O381" s="98"/>
      <c r="P381" s="99"/>
      <c r="Q381" s="100"/>
    </row>
    <row r="382" spans="10:17" ht="15.75" customHeight="1" x14ac:dyDescent="0.25">
      <c r="J382" s="96"/>
      <c r="N382" s="97"/>
      <c r="O382" s="98"/>
      <c r="P382" s="99"/>
      <c r="Q382" s="100"/>
    </row>
    <row r="383" spans="10:17" ht="15.75" customHeight="1" x14ac:dyDescent="0.25">
      <c r="J383" s="96"/>
      <c r="N383" s="97"/>
      <c r="O383" s="98"/>
      <c r="P383" s="99"/>
      <c r="Q383" s="100"/>
    </row>
    <row r="384" spans="10:17" ht="15.75" customHeight="1" x14ac:dyDescent="0.25">
      <c r="J384" s="96"/>
      <c r="N384" s="97"/>
      <c r="O384" s="98"/>
      <c r="P384" s="99"/>
      <c r="Q384" s="100"/>
    </row>
    <row r="385" spans="10:17" ht="15.75" customHeight="1" x14ac:dyDescent="0.25">
      <c r="J385" s="96"/>
      <c r="N385" s="97"/>
      <c r="O385" s="98"/>
      <c r="P385" s="99"/>
      <c r="Q385" s="100"/>
    </row>
    <row r="386" spans="10:17" ht="15.75" customHeight="1" x14ac:dyDescent="0.25">
      <c r="J386" s="96"/>
      <c r="N386" s="97"/>
      <c r="O386" s="98"/>
      <c r="P386" s="99"/>
      <c r="Q386" s="100"/>
    </row>
    <row r="387" spans="10:17" ht="15.75" customHeight="1" x14ac:dyDescent="0.25">
      <c r="J387" s="96"/>
      <c r="N387" s="97"/>
      <c r="O387" s="98"/>
      <c r="P387" s="99"/>
      <c r="Q387" s="100"/>
    </row>
    <row r="388" spans="10:17" ht="15.75" customHeight="1" x14ac:dyDescent="0.25">
      <c r="J388" s="96"/>
      <c r="N388" s="97"/>
      <c r="O388" s="98"/>
      <c r="P388" s="99"/>
      <c r="Q388" s="100"/>
    </row>
    <row r="389" spans="10:17" ht="15.75" customHeight="1" x14ac:dyDescent="0.25">
      <c r="J389" s="96"/>
      <c r="N389" s="97"/>
      <c r="O389" s="98"/>
      <c r="P389" s="99"/>
      <c r="Q389" s="100"/>
    </row>
    <row r="390" spans="10:17" ht="15.75" customHeight="1" x14ac:dyDescent="0.25">
      <c r="J390" s="96"/>
      <c r="N390" s="97"/>
      <c r="O390" s="98"/>
      <c r="P390" s="99"/>
      <c r="Q390" s="100"/>
    </row>
    <row r="391" spans="10:17" ht="15.75" customHeight="1" x14ac:dyDescent="0.25">
      <c r="J391" s="96"/>
      <c r="N391" s="97"/>
      <c r="O391" s="98"/>
      <c r="P391" s="99"/>
      <c r="Q391" s="100"/>
    </row>
    <row r="392" spans="10:17" ht="15.75" customHeight="1" x14ac:dyDescent="0.25">
      <c r="J392" s="96"/>
      <c r="N392" s="97"/>
      <c r="O392" s="98"/>
      <c r="P392" s="99"/>
      <c r="Q392" s="100"/>
    </row>
    <row r="393" spans="10:17" ht="15.75" customHeight="1" x14ac:dyDescent="0.25">
      <c r="J393" s="96"/>
      <c r="N393" s="97"/>
      <c r="O393" s="98"/>
      <c r="P393" s="99"/>
      <c r="Q393" s="100"/>
    </row>
    <row r="394" spans="10:17" ht="15.75" customHeight="1" x14ac:dyDescent="0.25">
      <c r="J394" s="96"/>
      <c r="N394" s="97"/>
      <c r="O394" s="98"/>
      <c r="P394" s="99"/>
      <c r="Q394" s="100"/>
    </row>
    <row r="395" spans="10:17" ht="15.75" customHeight="1" x14ac:dyDescent="0.25">
      <c r="J395" s="96"/>
      <c r="N395" s="97"/>
      <c r="O395" s="98"/>
      <c r="P395" s="99"/>
      <c r="Q395" s="100"/>
    </row>
    <row r="396" spans="10:17" ht="15.75" customHeight="1" x14ac:dyDescent="0.25">
      <c r="J396" s="96"/>
      <c r="N396" s="97"/>
      <c r="O396" s="98"/>
      <c r="P396" s="99"/>
      <c r="Q396" s="100"/>
    </row>
    <row r="397" spans="10:17" ht="15.75" customHeight="1" x14ac:dyDescent="0.25">
      <c r="J397" s="96"/>
      <c r="N397" s="97"/>
      <c r="O397" s="98"/>
      <c r="P397" s="99"/>
      <c r="Q397" s="100"/>
    </row>
    <row r="398" spans="10:17" ht="15.75" customHeight="1" x14ac:dyDescent="0.25">
      <c r="J398" s="96"/>
      <c r="N398" s="97"/>
      <c r="O398" s="98"/>
      <c r="P398" s="99"/>
      <c r="Q398" s="100"/>
    </row>
    <row r="399" spans="10:17" ht="15.75" customHeight="1" x14ac:dyDescent="0.25">
      <c r="J399" s="96"/>
      <c r="N399" s="97"/>
      <c r="O399" s="98"/>
      <c r="P399" s="99"/>
      <c r="Q399" s="100"/>
    </row>
    <row r="400" spans="10:17" ht="15.75" customHeight="1" x14ac:dyDescent="0.25">
      <c r="J400" s="96"/>
      <c r="N400" s="97"/>
      <c r="O400" s="98"/>
      <c r="P400" s="99"/>
      <c r="Q400" s="100"/>
    </row>
    <row r="401" spans="10:17" ht="15.75" customHeight="1" x14ac:dyDescent="0.25">
      <c r="J401" s="96"/>
      <c r="N401" s="97"/>
      <c r="O401" s="98"/>
      <c r="P401" s="99"/>
      <c r="Q401" s="100"/>
    </row>
    <row r="402" spans="10:17" ht="15.75" customHeight="1" x14ac:dyDescent="0.25">
      <c r="J402" s="96"/>
      <c r="N402" s="97"/>
      <c r="O402" s="98"/>
      <c r="P402" s="99"/>
      <c r="Q402" s="100"/>
    </row>
    <row r="403" spans="10:17" ht="15.75" customHeight="1" x14ac:dyDescent="0.25">
      <c r="J403" s="96"/>
      <c r="N403" s="97"/>
      <c r="O403" s="98"/>
      <c r="P403" s="99"/>
      <c r="Q403" s="100"/>
    </row>
    <row r="404" spans="10:17" ht="15.75" customHeight="1" x14ac:dyDescent="0.25">
      <c r="J404" s="96"/>
      <c r="N404" s="97"/>
      <c r="O404" s="98"/>
      <c r="P404" s="99"/>
      <c r="Q404" s="100"/>
    </row>
    <row r="405" spans="10:17" ht="15.75" customHeight="1" x14ac:dyDescent="0.25">
      <c r="J405" s="96"/>
      <c r="N405" s="97"/>
      <c r="O405" s="98"/>
      <c r="P405" s="99"/>
      <c r="Q405" s="100"/>
    </row>
    <row r="406" spans="10:17" ht="15.75" customHeight="1" x14ac:dyDescent="0.25">
      <c r="J406" s="96"/>
      <c r="N406" s="97"/>
      <c r="O406" s="98"/>
      <c r="P406" s="99"/>
      <c r="Q406" s="100"/>
    </row>
    <row r="407" spans="10:17" ht="15.75" customHeight="1" x14ac:dyDescent="0.25">
      <c r="J407" s="96"/>
      <c r="N407" s="97"/>
      <c r="O407" s="98"/>
      <c r="P407" s="99"/>
      <c r="Q407" s="100"/>
    </row>
    <row r="408" spans="10:17" ht="15.75" customHeight="1" x14ac:dyDescent="0.25">
      <c r="J408" s="96"/>
      <c r="N408" s="97"/>
      <c r="O408" s="98"/>
      <c r="P408" s="99"/>
      <c r="Q408" s="100"/>
    </row>
    <row r="409" spans="10:17" ht="15.75" customHeight="1" x14ac:dyDescent="0.25">
      <c r="J409" s="96"/>
      <c r="N409" s="97"/>
      <c r="O409" s="98"/>
      <c r="P409" s="99"/>
      <c r="Q409" s="100"/>
    </row>
    <row r="410" spans="10:17" ht="15.75" customHeight="1" x14ac:dyDescent="0.25">
      <c r="J410" s="96"/>
      <c r="N410" s="97"/>
      <c r="O410" s="98"/>
      <c r="P410" s="99"/>
      <c r="Q410" s="100"/>
    </row>
    <row r="411" spans="10:17" ht="15.75" customHeight="1" x14ac:dyDescent="0.25">
      <c r="J411" s="96"/>
      <c r="N411" s="97"/>
      <c r="O411" s="98"/>
      <c r="P411" s="99"/>
      <c r="Q411" s="100"/>
    </row>
    <row r="412" spans="10:17" ht="15.75" customHeight="1" x14ac:dyDescent="0.25">
      <c r="J412" s="96"/>
      <c r="N412" s="97"/>
      <c r="O412" s="98"/>
      <c r="P412" s="99"/>
      <c r="Q412" s="100"/>
    </row>
    <row r="413" spans="10:17" ht="15.75" customHeight="1" x14ac:dyDescent="0.25">
      <c r="J413" s="96"/>
      <c r="N413" s="97"/>
      <c r="O413" s="98"/>
      <c r="P413" s="99"/>
      <c r="Q413" s="100"/>
    </row>
    <row r="414" spans="10:17" ht="15.75" customHeight="1" x14ac:dyDescent="0.25">
      <c r="J414" s="96"/>
      <c r="N414" s="97"/>
      <c r="O414" s="98"/>
      <c r="P414" s="99"/>
      <c r="Q414" s="100"/>
    </row>
    <row r="415" spans="10:17" ht="15.75" customHeight="1" x14ac:dyDescent="0.25">
      <c r="J415" s="96"/>
      <c r="N415" s="97"/>
      <c r="O415" s="98"/>
      <c r="P415" s="99"/>
      <c r="Q415" s="100"/>
    </row>
    <row r="416" spans="10:17" ht="15.75" customHeight="1" x14ac:dyDescent="0.25">
      <c r="J416" s="96"/>
      <c r="N416" s="97"/>
      <c r="O416" s="98"/>
      <c r="P416" s="99"/>
      <c r="Q416" s="100"/>
    </row>
    <row r="417" spans="10:17" ht="15.75" customHeight="1" x14ac:dyDescent="0.25">
      <c r="J417" s="96"/>
      <c r="N417" s="97"/>
      <c r="O417" s="98"/>
      <c r="P417" s="99"/>
      <c r="Q417" s="100"/>
    </row>
    <row r="418" spans="10:17" ht="15.75" customHeight="1" x14ac:dyDescent="0.25">
      <c r="J418" s="96"/>
      <c r="N418" s="97"/>
      <c r="O418" s="98"/>
      <c r="P418" s="99"/>
      <c r="Q418" s="100"/>
    </row>
    <row r="419" spans="10:17" ht="15.75" customHeight="1" x14ac:dyDescent="0.25">
      <c r="J419" s="96"/>
      <c r="N419" s="97"/>
      <c r="O419" s="98"/>
      <c r="P419" s="99"/>
      <c r="Q419" s="100"/>
    </row>
    <row r="420" spans="10:17" ht="15.75" customHeight="1" x14ac:dyDescent="0.25">
      <c r="J420" s="96"/>
      <c r="N420" s="97"/>
      <c r="O420" s="98"/>
      <c r="P420" s="99"/>
      <c r="Q420" s="100"/>
    </row>
    <row r="421" spans="10:17" ht="15.75" customHeight="1" x14ac:dyDescent="0.25">
      <c r="J421" s="96"/>
      <c r="N421" s="97"/>
      <c r="O421" s="98"/>
      <c r="P421" s="99"/>
      <c r="Q421" s="100"/>
    </row>
    <row r="422" spans="10:17" ht="15.75" customHeight="1" x14ac:dyDescent="0.25">
      <c r="J422" s="96"/>
      <c r="N422" s="97"/>
      <c r="O422" s="98"/>
      <c r="P422" s="99"/>
      <c r="Q422" s="100"/>
    </row>
    <row r="423" spans="10:17" ht="15.75" customHeight="1" x14ac:dyDescent="0.25">
      <c r="J423" s="96"/>
      <c r="N423" s="97"/>
      <c r="O423" s="98"/>
      <c r="P423" s="99"/>
      <c r="Q423" s="100"/>
    </row>
    <row r="424" spans="10:17" ht="15.75" customHeight="1" x14ac:dyDescent="0.25">
      <c r="J424" s="96"/>
      <c r="N424" s="97"/>
      <c r="O424" s="98"/>
      <c r="P424" s="99"/>
      <c r="Q424" s="100"/>
    </row>
    <row r="425" spans="10:17" ht="15.75" customHeight="1" x14ac:dyDescent="0.25">
      <c r="J425" s="96"/>
      <c r="N425" s="97"/>
      <c r="O425" s="98"/>
      <c r="P425" s="99"/>
      <c r="Q425" s="100"/>
    </row>
    <row r="426" spans="10:17" ht="15.75" customHeight="1" x14ac:dyDescent="0.25">
      <c r="J426" s="96"/>
      <c r="N426" s="97"/>
      <c r="O426" s="98"/>
      <c r="P426" s="99"/>
      <c r="Q426" s="100"/>
    </row>
    <row r="427" spans="10:17" ht="15.75" customHeight="1" x14ac:dyDescent="0.25">
      <c r="J427" s="96"/>
      <c r="N427" s="97"/>
      <c r="O427" s="98"/>
      <c r="P427" s="99"/>
      <c r="Q427" s="100"/>
    </row>
    <row r="428" spans="10:17" ht="15.75" customHeight="1" x14ac:dyDescent="0.25">
      <c r="J428" s="96"/>
      <c r="N428" s="97"/>
      <c r="O428" s="98"/>
      <c r="P428" s="99"/>
      <c r="Q428" s="100"/>
    </row>
    <row r="429" spans="10:17" ht="15.75" customHeight="1" x14ac:dyDescent="0.25">
      <c r="J429" s="96"/>
      <c r="N429" s="97"/>
      <c r="O429" s="98"/>
      <c r="P429" s="99"/>
      <c r="Q429" s="100"/>
    </row>
    <row r="430" spans="10:17" ht="15.75" customHeight="1" x14ac:dyDescent="0.25">
      <c r="J430" s="96"/>
      <c r="N430" s="97"/>
      <c r="O430" s="98"/>
      <c r="P430" s="99"/>
      <c r="Q430" s="100"/>
    </row>
    <row r="431" spans="10:17" ht="15.75" customHeight="1" x14ac:dyDescent="0.25">
      <c r="J431" s="96"/>
      <c r="N431" s="97"/>
      <c r="O431" s="98"/>
      <c r="P431" s="99"/>
      <c r="Q431" s="100"/>
    </row>
    <row r="432" spans="10:17" ht="15.75" customHeight="1" x14ac:dyDescent="0.25">
      <c r="J432" s="96"/>
      <c r="N432" s="97"/>
      <c r="O432" s="98"/>
      <c r="P432" s="99"/>
      <c r="Q432" s="100"/>
    </row>
    <row r="433" spans="10:17" ht="15.75" customHeight="1" x14ac:dyDescent="0.25">
      <c r="J433" s="96"/>
      <c r="N433" s="97"/>
      <c r="O433" s="98"/>
      <c r="P433" s="99"/>
      <c r="Q433" s="100"/>
    </row>
    <row r="434" spans="10:17" ht="15.75" customHeight="1" x14ac:dyDescent="0.25">
      <c r="J434" s="96"/>
      <c r="N434" s="97"/>
      <c r="O434" s="98"/>
      <c r="P434" s="99"/>
      <c r="Q434" s="100"/>
    </row>
    <row r="435" spans="10:17" ht="15.75" customHeight="1" x14ac:dyDescent="0.25">
      <c r="J435" s="96"/>
      <c r="N435" s="97"/>
      <c r="O435" s="98"/>
      <c r="P435" s="99"/>
      <c r="Q435" s="100"/>
    </row>
    <row r="436" spans="10:17" ht="15.75" customHeight="1" x14ac:dyDescent="0.25">
      <c r="J436" s="96"/>
      <c r="N436" s="97"/>
      <c r="O436" s="98"/>
      <c r="P436" s="99"/>
      <c r="Q436" s="100"/>
    </row>
    <row r="437" spans="10:17" ht="15.75" customHeight="1" x14ac:dyDescent="0.25">
      <c r="J437" s="96"/>
      <c r="N437" s="97"/>
      <c r="O437" s="98"/>
      <c r="P437" s="99"/>
      <c r="Q437" s="100"/>
    </row>
    <row r="438" spans="10:17" ht="15.75" customHeight="1" x14ac:dyDescent="0.25">
      <c r="J438" s="96"/>
      <c r="N438" s="97"/>
      <c r="O438" s="98"/>
      <c r="P438" s="99"/>
      <c r="Q438" s="100"/>
    </row>
    <row r="439" spans="10:17" ht="15.75" customHeight="1" x14ac:dyDescent="0.25">
      <c r="J439" s="96"/>
      <c r="N439" s="97"/>
      <c r="O439" s="98"/>
      <c r="P439" s="99"/>
      <c r="Q439" s="100"/>
    </row>
    <row r="440" spans="10:17" ht="15.75" customHeight="1" x14ac:dyDescent="0.25">
      <c r="J440" s="96"/>
      <c r="N440" s="97"/>
      <c r="O440" s="98"/>
      <c r="P440" s="99"/>
      <c r="Q440" s="100"/>
    </row>
    <row r="441" spans="10:17" ht="15.75" customHeight="1" x14ac:dyDescent="0.25">
      <c r="J441" s="96"/>
      <c r="N441" s="97"/>
      <c r="O441" s="98"/>
      <c r="P441" s="99"/>
      <c r="Q441" s="100"/>
    </row>
    <row r="442" spans="10:17" ht="15.75" customHeight="1" x14ac:dyDescent="0.25">
      <c r="J442" s="96"/>
      <c r="N442" s="97"/>
      <c r="O442" s="98"/>
      <c r="P442" s="99"/>
      <c r="Q442" s="100"/>
    </row>
    <row r="443" spans="10:17" ht="15.75" customHeight="1" x14ac:dyDescent="0.25">
      <c r="J443" s="96"/>
      <c r="N443" s="97"/>
      <c r="O443" s="98"/>
      <c r="P443" s="99"/>
      <c r="Q443" s="100"/>
    </row>
    <row r="444" spans="10:17" ht="15.75" customHeight="1" x14ac:dyDescent="0.25">
      <c r="J444" s="96"/>
      <c r="N444" s="97"/>
      <c r="O444" s="98"/>
      <c r="P444" s="99"/>
      <c r="Q444" s="100"/>
    </row>
    <row r="445" spans="10:17" ht="15.75" customHeight="1" x14ac:dyDescent="0.25">
      <c r="J445" s="96"/>
      <c r="N445" s="97"/>
      <c r="O445" s="98"/>
      <c r="P445" s="99"/>
      <c r="Q445" s="100"/>
    </row>
    <row r="446" spans="10:17" ht="15.75" customHeight="1" x14ac:dyDescent="0.25">
      <c r="J446" s="96"/>
      <c r="N446" s="97"/>
      <c r="O446" s="98"/>
      <c r="P446" s="99"/>
      <c r="Q446" s="100"/>
    </row>
    <row r="447" spans="10:17" ht="15.75" customHeight="1" x14ac:dyDescent="0.25">
      <c r="J447" s="96"/>
      <c r="N447" s="97"/>
      <c r="O447" s="98"/>
      <c r="P447" s="99"/>
      <c r="Q447" s="100"/>
    </row>
    <row r="448" spans="10:17" ht="15.75" customHeight="1" x14ac:dyDescent="0.25">
      <c r="J448" s="96"/>
      <c r="N448" s="97"/>
      <c r="O448" s="98"/>
      <c r="P448" s="99"/>
      <c r="Q448" s="100"/>
    </row>
    <row r="449" spans="10:17" ht="15.75" customHeight="1" x14ac:dyDescent="0.25">
      <c r="J449" s="96"/>
      <c r="N449" s="97"/>
      <c r="O449" s="98"/>
      <c r="P449" s="99"/>
      <c r="Q449" s="100"/>
    </row>
    <row r="450" spans="10:17" ht="15.75" customHeight="1" x14ac:dyDescent="0.25">
      <c r="J450" s="96"/>
      <c r="N450" s="97"/>
      <c r="O450" s="98"/>
      <c r="P450" s="99"/>
      <c r="Q450" s="100"/>
    </row>
    <row r="451" spans="10:17" ht="15.75" customHeight="1" x14ac:dyDescent="0.25">
      <c r="J451" s="96"/>
      <c r="N451" s="97"/>
      <c r="O451" s="98"/>
      <c r="P451" s="99"/>
      <c r="Q451" s="100"/>
    </row>
    <row r="452" spans="10:17" ht="15.75" customHeight="1" x14ac:dyDescent="0.25">
      <c r="J452" s="96"/>
      <c r="N452" s="97"/>
      <c r="O452" s="98"/>
      <c r="P452" s="99"/>
      <c r="Q452" s="100"/>
    </row>
    <row r="453" spans="10:17" ht="15.75" customHeight="1" x14ac:dyDescent="0.25">
      <c r="J453" s="96"/>
      <c r="N453" s="97"/>
      <c r="O453" s="98"/>
      <c r="P453" s="99"/>
      <c r="Q453" s="100"/>
    </row>
    <row r="454" spans="10:17" ht="15.75" customHeight="1" x14ac:dyDescent="0.25">
      <c r="J454" s="96"/>
      <c r="N454" s="97"/>
      <c r="O454" s="98"/>
      <c r="P454" s="99"/>
      <c r="Q454" s="100"/>
    </row>
    <row r="455" spans="10:17" ht="15.75" customHeight="1" x14ac:dyDescent="0.25">
      <c r="J455" s="96"/>
      <c r="N455" s="97"/>
      <c r="O455" s="98"/>
      <c r="P455" s="99"/>
      <c r="Q455" s="100"/>
    </row>
    <row r="456" spans="10:17" ht="15.75" customHeight="1" x14ac:dyDescent="0.25">
      <c r="J456" s="96"/>
      <c r="N456" s="97"/>
      <c r="O456" s="98"/>
      <c r="P456" s="99"/>
      <c r="Q456" s="100"/>
    </row>
    <row r="457" spans="10:17" ht="15.75" customHeight="1" x14ac:dyDescent="0.25">
      <c r="J457" s="96"/>
      <c r="N457" s="97"/>
      <c r="O457" s="98"/>
      <c r="P457" s="99"/>
      <c r="Q457" s="100"/>
    </row>
    <row r="458" spans="10:17" ht="15.75" customHeight="1" x14ac:dyDescent="0.25">
      <c r="J458" s="96"/>
      <c r="N458" s="97"/>
      <c r="O458" s="98"/>
      <c r="P458" s="99"/>
      <c r="Q458" s="100"/>
    </row>
    <row r="459" spans="10:17" ht="15.75" customHeight="1" x14ac:dyDescent="0.25">
      <c r="J459" s="96"/>
      <c r="N459" s="97"/>
      <c r="O459" s="98"/>
      <c r="P459" s="99"/>
      <c r="Q459" s="100"/>
    </row>
    <row r="460" spans="10:17" ht="15.75" customHeight="1" x14ac:dyDescent="0.25">
      <c r="J460" s="96"/>
      <c r="N460" s="97"/>
      <c r="O460" s="98"/>
      <c r="P460" s="99"/>
      <c r="Q460" s="100"/>
    </row>
    <row r="461" spans="10:17" ht="15.75" customHeight="1" x14ac:dyDescent="0.25">
      <c r="J461" s="96"/>
      <c r="N461" s="97"/>
      <c r="O461" s="98"/>
      <c r="P461" s="99"/>
      <c r="Q461" s="100"/>
    </row>
    <row r="462" spans="10:17" ht="15.75" customHeight="1" x14ac:dyDescent="0.25">
      <c r="J462" s="96"/>
      <c r="N462" s="97"/>
      <c r="O462" s="98"/>
      <c r="P462" s="99"/>
      <c r="Q462" s="100"/>
    </row>
    <row r="463" spans="10:17" ht="15.75" customHeight="1" x14ac:dyDescent="0.25">
      <c r="J463" s="96"/>
      <c r="N463" s="97"/>
      <c r="O463" s="98"/>
      <c r="P463" s="99"/>
      <c r="Q463" s="100"/>
    </row>
    <row r="464" spans="10:17" ht="15.75" customHeight="1" x14ac:dyDescent="0.25">
      <c r="J464" s="96"/>
      <c r="N464" s="97"/>
      <c r="O464" s="98"/>
      <c r="P464" s="99"/>
      <c r="Q464" s="100"/>
    </row>
    <row r="465" spans="10:17" ht="15.75" customHeight="1" x14ac:dyDescent="0.25">
      <c r="J465" s="96"/>
      <c r="N465" s="97"/>
      <c r="O465" s="98"/>
      <c r="P465" s="99"/>
      <c r="Q465" s="100"/>
    </row>
    <row r="466" spans="10:17" ht="15.75" customHeight="1" x14ac:dyDescent="0.25">
      <c r="J466" s="96"/>
      <c r="N466" s="97"/>
      <c r="O466" s="98"/>
      <c r="P466" s="99"/>
      <c r="Q466" s="100"/>
    </row>
    <row r="467" spans="10:17" ht="15.75" customHeight="1" x14ac:dyDescent="0.25">
      <c r="J467" s="96"/>
      <c r="N467" s="97"/>
      <c r="O467" s="98"/>
      <c r="P467" s="99"/>
      <c r="Q467" s="100"/>
    </row>
    <row r="468" spans="10:17" ht="15.75" customHeight="1" x14ac:dyDescent="0.25">
      <c r="J468" s="96"/>
      <c r="N468" s="97"/>
      <c r="O468" s="98"/>
      <c r="P468" s="99"/>
      <c r="Q468" s="100"/>
    </row>
    <row r="469" spans="10:17" ht="15.75" customHeight="1" x14ac:dyDescent="0.25">
      <c r="J469" s="96"/>
      <c r="N469" s="97"/>
      <c r="O469" s="98"/>
      <c r="P469" s="99"/>
      <c r="Q469" s="100"/>
    </row>
    <row r="470" spans="10:17" ht="15.75" customHeight="1" x14ac:dyDescent="0.25">
      <c r="J470" s="96"/>
      <c r="N470" s="97"/>
      <c r="O470" s="98"/>
      <c r="P470" s="99"/>
      <c r="Q470" s="100"/>
    </row>
    <row r="471" spans="10:17" ht="15.75" customHeight="1" x14ac:dyDescent="0.25">
      <c r="J471" s="96"/>
      <c r="N471" s="97"/>
      <c r="O471" s="98"/>
      <c r="P471" s="99"/>
      <c r="Q471" s="100"/>
    </row>
    <row r="472" spans="10:17" ht="15.75" customHeight="1" x14ac:dyDescent="0.25">
      <c r="J472" s="96"/>
      <c r="N472" s="97"/>
      <c r="O472" s="98"/>
      <c r="P472" s="99"/>
      <c r="Q472" s="100"/>
    </row>
    <row r="473" spans="10:17" ht="15.75" customHeight="1" x14ac:dyDescent="0.25">
      <c r="J473" s="96"/>
      <c r="N473" s="97"/>
      <c r="O473" s="98"/>
      <c r="P473" s="99"/>
      <c r="Q473" s="100"/>
    </row>
    <row r="474" spans="10:17" ht="15.75" customHeight="1" x14ac:dyDescent="0.25">
      <c r="J474" s="96"/>
      <c r="N474" s="97"/>
      <c r="O474" s="98"/>
      <c r="P474" s="99"/>
      <c r="Q474" s="100"/>
    </row>
    <row r="475" spans="10:17" ht="15.75" customHeight="1" x14ac:dyDescent="0.25">
      <c r="J475" s="96"/>
      <c r="N475" s="97"/>
      <c r="O475" s="98"/>
      <c r="P475" s="99"/>
      <c r="Q475" s="100"/>
    </row>
    <row r="476" spans="10:17" ht="15.75" customHeight="1" x14ac:dyDescent="0.25">
      <c r="J476" s="96"/>
      <c r="N476" s="97"/>
      <c r="O476" s="98"/>
      <c r="P476" s="99"/>
      <c r="Q476" s="100"/>
    </row>
    <row r="477" spans="10:17" ht="15.75" customHeight="1" x14ac:dyDescent="0.25">
      <c r="J477" s="96"/>
      <c r="N477" s="97"/>
      <c r="O477" s="98"/>
      <c r="P477" s="99"/>
      <c r="Q477" s="100"/>
    </row>
    <row r="478" spans="10:17" ht="15.75" customHeight="1" x14ac:dyDescent="0.25">
      <c r="J478" s="96"/>
      <c r="N478" s="97"/>
      <c r="O478" s="98"/>
      <c r="P478" s="99"/>
      <c r="Q478" s="100"/>
    </row>
    <row r="479" spans="10:17" ht="15.75" customHeight="1" x14ac:dyDescent="0.25">
      <c r="J479" s="96"/>
      <c r="N479" s="97"/>
      <c r="O479" s="98"/>
      <c r="P479" s="99"/>
      <c r="Q479" s="100"/>
    </row>
    <row r="480" spans="10:17" ht="15.75" customHeight="1" x14ac:dyDescent="0.25">
      <c r="J480" s="96"/>
      <c r="N480" s="97"/>
      <c r="O480" s="98"/>
      <c r="P480" s="99"/>
      <c r="Q480" s="100"/>
    </row>
    <row r="481" spans="10:17" ht="15.75" customHeight="1" x14ac:dyDescent="0.25">
      <c r="J481" s="96"/>
      <c r="N481" s="97"/>
      <c r="O481" s="98"/>
      <c r="P481" s="99"/>
      <c r="Q481" s="100"/>
    </row>
    <row r="482" spans="10:17" ht="15.75" customHeight="1" x14ac:dyDescent="0.25">
      <c r="J482" s="96"/>
      <c r="N482" s="97"/>
      <c r="O482" s="98"/>
      <c r="P482" s="99"/>
      <c r="Q482" s="100"/>
    </row>
    <row r="483" spans="10:17" ht="15.75" customHeight="1" x14ac:dyDescent="0.25">
      <c r="J483" s="96"/>
      <c r="N483" s="97"/>
      <c r="O483" s="98"/>
      <c r="P483" s="99"/>
      <c r="Q483" s="100"/>
    </row>
    <row r="484" spans="10:17" ht="15.75" customHeight="1" x14ac:dyDescent="0.25">
      <c r="J484" s="96"/>
      <c r="N484" s="97"/>
      <c r="O484" s="98"/>
      <c r="P484" s="99"/>
      <c r="Q484" s="100"/>
    </row>
    <row r="485" spans="10:17" ht="15.75" customHeight="1" x14ac:dyDescent="0.25">
      <c r="J485" s="96"/>
      <c r="N485" s="97"/>
      <c r="O485" s="98"/>
      <c r="P485" s="99"/>
      <c r="Q485" s="100"/>
    </row>
    <row r="486" spans="10:17" ht="15.75" customHeight="1" x14ac:dyDescent="0.25">
      <c r="J486" s="96"/>
      <c r="N486" s="97"/>
      <c r="O486" s="98"/>
      <c r="P486" s="99"/>
      <c r="Q486" s="100"/>
    </row>
    <row r="487" spans="10:17" ht="15.75" customHeight="1" x14ac:dyDescent="0.25">
      <c r="J487" s="96"/>
      <c r="N487" s="97"/>
      <c r="O487" s="98"/>
      <c r="P487" s="99"/>
      <c r="Q487" s="100"/>
    </row>
    <row r="488" spans="10:17" ht="15.75" customHeight="1" x14ac:dyDescent="0.25">
      <c r="J488" s="96"/>
      <c r="N488" s="97"/>
      <c r="O488" s="98"/>
      <c r="P488" s="99"/>
      <c r="Q488" s="100"/>
    </row>
    <row r="489" spans="10:17" ht="15.75" customHeight="1" x14ac:dyDescent="0.25">
      <c r="J489" s="96"/>
      <c r="N489" s="97"/>
      <c r="O489" s="98"/>
      <c r="P489" s="99"/>
      <c r="Q489" s="100"/>
    </row>
    <row r="490" spans="10:17" ht="15.75" customHeight="1" x14ac:dyDescent="0.25">
      <c r="J490" s="96"/>
      <c r="N490" s="97"/>
      <c r="O490" s="98"/>
      <c r="P490" s="99"/>
      <c r="Q490" s="100"/>
    </row>
    <row r="491" spans="10:17" ht="15.75" customHeight="1" x14ac:dyDescent="0.25">
      <c r="J491" s="96"/>
      <c r="N491" s="97"/>
      <c r="O491" s="98"/>
      <c r="P491" s="99"/>
      <c r="Q491" s="100"/>
    </row>
    <row r="492" spans="10:17" ht="15.75" customHeight="1" x14ac:dyDescent="0.25">
      <c r="J492" s="96"/>
      <c r="N492" s="97"/>
      <c r="O492" s="98"/>
      <c r="P492" s="99"/>
      <c r="Q492" s="100"/>
    </row>
    <row r="493" spans="10:17" ht="15.75" customHeight="1" x14ac:dyDescent="0.25">
      <c r="J493" s="96"/>
      <c r="N493" s="97"/>
      <c r="O493" s="98"/>
      <c r="P493" s="99"/>
      <c r="Q493" s="100"/>
    </row>
    <row r="494" spans="10:17" ht="15.75" customHeight="1" x14ac:dyDescent="0.25">
      <c r="J494" s="96"/>
      <c r="N494" s="97"/>
      <c r="O494" s="98"/>
      <c r="P494" s="99"/>
      <c r="Q494" s="100"/>
    </row>
    <row r="495" spans="10:17" ht="15.75" customHeight="1" x14ac:dyDescent="0.25">
      <c r="J495" s="96"/>
      <c r="N495" s="97"/>
      <c r="O495" s="98"/>
      <c r="P495" s="99"/>
      <c r="Q495" s="100"/>
    </row>
    <row r="496" spans="10:17" ht="15.75" customHeight="1" x14ac:dyDescent="0.25">
      <c r="J496" s="96"/>
      <c r="N496" s="97"/>
      <c r="O496" s="98"/>
      <c r="P496" s="99"/>
      <c r="Q496" s="100"/>
    </row>
    <row r="497" spans="10:17" ht="15.75" customHeight="1" x14ac:dyDescent="0.25">
      <c r="J497" s="96"/>
      <c r="N497" s="97"/>
      <c r="O497" s="98"/>
      <c r="P497" s="99"/>
      <c r="Q497" s="100"/>
    </row>
    <row r="498" spans="10:17" ht="15.75" customHeight="1" x14ac:dyDescent="0.25">
      <c r="J498" s="96"/>
      <c r="N498" s="97"/>
      <c r="O498" s="98"/>
      <c r="P498" s="99"/>
      <c r="Q498" s="100"/>
    </row>
    <row r="499" spans="10:17" ht="15.75" customHeight="1" x14ac:dyDescent="0.25">
      <c r="J499" s="96"/>
      <c r="N499" s="97"/>
      <c r="O499" s="98"/>
      <c r="P499" s="99"/>
      <c r="Q499" s="100"/>
    </row>
    <row r="500" spans="10:17" ht="15.75" customHeight="1" x14ac:dyDescent="0.25">
      <c r="J500" s="96"/>
      <c r="N500" s="97"/>
      <c r="O500" s="98"/>
      <c r="P500" s="99"/>
      <c r="Q500" s="100"/>
    </row>
    <row r="501" spans="10:17" ht="15.75" customHeight="1" x14ac:dyDescent="0.25">
      <c r="J501" s="96"/>
      <c r="N501" s="97"/>
      <c r="O501" s="98"/>
      <c r="P501" s="99"/>
      <c r="Q501" s="100"/>
    </row>
    <row r="502" spans="10:17" ht="15.75" customHeight="1" x14ac:dyDescent="0.25">
      <c r="J502" s="96"/>
      <c r="N502" s="97"/>
      <c r="O502" s="98"/>
      <c r="P502" s="99"/>
      <c r="Q502" s="100"/>
    </row>
    <row r="503" spans="10:17" ht="15.75" customHeight="1" x14ac:dyDescent="0.25">
      <c r="J503" s="96"/>
      <c r="N503" s="97"/>
      <c r="O503" s="98"/>
      <c r="P503" s="99"/>
      <c r="Q503" s="100"/>
    </row>
    <row r="504" spans="10:17" ht="15.75" customHeight="1" x14ac:dyDescent="0.25">
      <c r="J504" s="96"/>
      <c r="N504" s="97"/>
      <c r="O504" s="98"/>
      <c r="P504" s="99"/>
      <c r="Q504" s="100"/>
    </row>
    <row r="505" spans="10:17" ht="15.75" customHeight="1" x14ac:dyDescent="0.25">
      <c r="J505" s="96"/>
      <c r="N505" s="97"/>
      <c r="O505" s="98"/>
      <c r="P505" s="99"/>
      <c r="Q505" s="100"/>
    </row>
    <row r="506" spans="10:17" ht="15.75" customHeight="1" x14ac:dyDescent="0.25">
      <c r="J506" s="96"/>
      <c r="N506" s="97"/>
      <c r="O506" s="98"/>
      <c r="P506" s="99"/>
      <c r="Q506" s="100"/>
    </row>
    <row r="507" spans="10:17" ht="15.75" customHeight="1" x14ac:dyDescent="0.25">
      <c r="J507" s="96"/>
      <c r="N507" s="97"/>
      <c r="O507" s="98"/>
      <c r="P507" s="99"/>
      <c r="Q507" s="100"/>
    </row>
    <row r="508" spans="10:17" ht="15.75" customHeight="1" x14ac:dyDescent="0.25">
      <c r="J508" s="96"/>
      <c r="N508" s="97"/>
      <c r="O508" s="98"/>
      <c r="P508" s="99"/>
      <c r="Q508" s="100"/>
    </row>
    <row r="509" spans="10:17" ht="15.75" customHeight="1" x14ac:dyDescent="0.25">
      <c r="J509" s="96"/>
      <c r="N509" s="97"/>
      <c r="O509" s="98"/>
      <c r="P509" s="99"/>
      <c r="Q509" s="100"/>
    </row>
    <row r="510" spans="10:17" ht="15.75" customHeight="1" x14ac:dyDescent="0.25">
      <c r="J510" s="96"/>
      <c r="N510" s="97"/>
      <c r="O510" s="98"/>
      <c r="P510" s="99"/>
      <c r="Q510" s="100"/>
    </row>
    <row r="511" spans="10:17" ht="15.75" customHeight="1" x14ac:dyDescent="0.25">
      <c r="J511" s="96"/>
      <c r="N511" s="97"/>
      <c r="O511" s="98"/>
      <c r="P511" s="99"/>
      <c r="Q511" s="100"/>
    </row>
    <row r="512" spans="10:17" ht="15.75" customHeight="1" x14ac:dyDescent="0.25">
      <c r="J512" s="96"/>
      <c r="N512" s="97"/>
      <c r="O512" s="98"/>
      <c r="P512" s="99"/>
      <c r="Q512" s="100"/>
    </row>
    <row r="513" spans="10:17" ht="15.75" customHeight="1" x14ac:dyDescent="0.25">
      <c r="J513" s="96"/>
      <c r="N513" s="97"/>
      <c r="O513" s="98"/>
      <c r="P513" s="99"/>
      <c r="Q513" s="100"/>
    </row>
    <row r="514" spans="10:17" ht="15.75" customHeight="1" x14ac:dyDescent="0.25">
      <c r="J514" s="96"/>
      <c r="N514" s="97"/>
      <c r="O514" s="98"/>
      <c r="P514" s="99"/>
      <c r="Q514" s="100"/>
    </row>
    <row r="515" spans="10:17" ht="15.75" customHeight="1" x14ac:dyDescent="0.25">
      <c r="J515" s="96"/>
      <c r="N515" s="97"/>
      <c r="O515" s="98"/>
      <c r="P515" s="99"/>
      <c r="Q515" s="100"/>
    </row>
    <row r="516" spans="10:17" ht="15.75" customHeight="1" x14ac:dyDescent="0.25">
      <c r="J516" s="96"/>
      <c r="N516" s="97"/>
      <c r="O516" s="98"/>
      <c r="P516" s="99"/>
      <c r="Q516" s="100"/>
    </row>
    <row r="517" spans="10:17" ht="15.75" customHeight="1" x14ac:dyDescent="0.25">
      <c r="J517" s="96"/>
      <c r="N517" s="97"/>
      <c r="O517" s="98"/>
      <c r="P517" s="99"/>
      <c r="Q517" s="100"/>
    </row>
    <row r="518" spans="10:17" ht="15.75" customHeight="1" x14ac:dyDescent="0.25">
      <c r="J518" s="96"/>
      <c r="N518" s="97"/>
      <c r="O518" s="98"/>
      <c r="P518" s="99"/>
      <c r="Q518" s="100"/>
    </row>
    <row r="519" spans="10:17" ht="15.75" customHeight="1" x14ac:dyDescent="0.25">
      <c r="J519" s="96"/>
      <c r="N519" s="97"/>
      <c r="O519" s="98"/>
      <c r="P519" s="99"/>
      <c r="Q519" s="100"/>
    </row>
    <row r="520" spans="10:17" ht="15.75" customHeight="1" x14ac:dyDescent="0.25">
      <c r="J520" s="96"/>
      <c r="N520" s="97"/>
      <c r="O520" s="98"/>
      <c r="P520" s="99"/>
      <c r="Q520" s="100"/>
    </row>
    <row r="521" spans="10:17" ht="15.75" customHeight="1" x14ac:dyDescent="0.25">
      <c r="J521" s="96"/>
      <c r="N521" s="97"/>
      <c r="O521" s="98"/>
      <c r="P521" s="99"/>
      <c r="Q521" s="100"/>
    </row>
    <row r="522" spans="10:17" ht="15.75" customHeight="1" x14ac:dyDescent="0.25">
      <c r="J522" s="96"/>
      <c r="N522" s="97"/>
      <c r="O522" s="98"/>
      <c r="P522" s="99"/>
      <c r="Q522" s="100"/>
    </row>
    <row r="523" spans="10:17" ht="15.75" customHeight="1" x14ac:dyDescent="0.25">
      <c r="J523" s="96"/>
      <c r="N523" s="97"/>
      <c r="O523" s="98"/>
      <c r="P523" s="99"/>
      <c r="Q523" s="100"/>
    </row>
    <row r="524" spans="10:17" ht="15.75" customHeight="1" x14ac:dyDescent="0.25">
      <c r="J524" s="96"/>
      <c r="N524" s="97"/>
      <c r="O524" s="98"/>
      <c r="P524" s="99"/>
      <c r="Q524" s="100"/>
    </row>
    <row r="525" spans="10:17" ht="15.75" customHeight="1" x14ac:dyDescent="0.25">
      <c r="J525" s="96"/>
      <c r="N525" s="97"/>
      <c r="O525" s="98"/>
      <c r="P525" s="99"/>
      <c r="Q525" s="100"/>
    </row>
    <row r="526" spans="10:17" ht="15.75" customHeight="1" x14ac:dyDescent="0.25">
      <c r="J526" s="96"/>
      <c r="N526" s="97"/>
      <c r="O526" s="98"/>
      <c r="P526" s="99"/>
      <c r="Q526" s="100"/>
    </row>
    <row r="527" spans="10:17" ht="15.75" customHeight="1" x14ac:dyDescent="0.25">
      <c r="J527" s="96"/>
      <c r="N527" s="97"/>
      <c r="O527" s="98"/>
      <c r="P527" s="99"/>
      <c r="Q527" s="100"/>
    </row>
    <row r="528" spans="10:17" ht="15.75" customHeight="1" x14ac:dyDescent="0.25">
      <c r="J528" s="96"/>
      <c r="N528" s="97"/>
      <c r="O528" s="98"/>
      <c r="P528" s="99"/>
      <c r="Q528" s="100"/>
    </row>
    <row r="529" spans="10:17" ht="15.75" customHeight="1" x14ac:dyDescent="0.25">
      <c r="J529" s="96"/>
      <c r="N529" s="97"/>
      <c r="O529" s="98"/>
      <c r="P529" s="99"/>
      <c r="Q529" s="100"/>
    </row>
    <row r="530" spans="10:17" ht="15.75" customHeight="1" x14ac:dyDescent="0.25">
      <c r="J530" s="96"/>
      <c r="N530" s="97"/>
      <c r="O530" s="98"/>
      <c r="P530" s="99"/>
      <c r="Q530" s="100"/>
    </row>
    <row r="531" spans="10:17" ht="15.75" customHeight="1" x14ac:dyDescent="0.25">
      <c r="J531" s="96"/>
      <c r="N531" s="97"/>
      <c r="O531" s="98"/>
      <c r="P531" s="99"/>
      <c r="Q531" s="100"/>
    </row>
    <row r="532" spans="10:17" ht="15.75" customHeight="1" x14ac:dyDescent="0.25">
      <c r="J532" s="96"/>
      <c r="N532" s="97"/>
      <c r="O532" s="98"/>
      <c r="P532" s="99"/>
      <c r="Q532" s="100"/>
    </row>
    <row r="533" spans="10:17" ht="15.75" customHeight="1" x14ac:dyDescent="0.25">
      <c r="J533" s="96"/>
      <c r="N533" s="97"/>
      <c r="O533" s="98"/>
      <c r="P533" s="99"/>
      <c r="Q533" s="100"/>
    </row>
    <row r="534" spans="10:17" ht="15.75" customHeight="1" x14ac:dyDescent="0.25">
      <c r="J534" s="96"/>
      <c r="N534" s="97"/>
      <c r="O534" s="98"/>
      <c r="P534" s="99"/>
      <c r="Q534" s="100"/>
    </row>
    <row r="535" spans="10:17" ht="15.75" customHeight="1" x14ac:dyDescent="0.25">
      <c r="J535" s="96"/>
      <c r="N535" s="97"/>
      <c r="O535" s="98"/>
      <c r="P535" s="99"/>
      <c r="Q535" s="100"/>
    </row>
    <row r="536" spans="10:17" ht="15.75" customHeight="1" x14ac:dyDescent="0.25">
      <c r="J536" s="96"/>
      <c r="N536" s="97"/>
      <c r="O536" s="98"/>
      <c r="P536" s="99"/>
      <c r="Q536" s="100"/>
    </row>
    <row r="537" spans="10:17" ht="15.75" customHeight="1" x14ac:dyDescent="0.25">
      <c r="J537" s="96"/>
      <c r="N537" s="97"/>
      <c r="O537" s="98"/>
      <c r="P537" s="99"/>
      <c r="Q537" s="100"/>
    </row>
    <row r="538" spans="10:17" ht="15.75" customHeight="1" x14ac:dyDescent="0.25">
      <c r="J538" s="96"/>
      <c r="N538" s="97"/>
      <c r="O538" s="98"/>
      <c r="P538" s="99"/>
      <c r="Q538" s="100"/>
    </row>
    <row r="539" spans="10:17" ht="15.75" customHeight="1" x14ac:dyDescent="0.25">
      <c r="J539" s="96"/>
      <c r="N539" s="97"/>
      <c r="O539" s="98"/>
      <c r="P539" s="99"/>
      <c r="Q539" s="100"/>
    </row>
    <row r="540" spans="10:17" ht="15.75" customHeight="1" x14ac:dyDescent="0.25">
      <c r="J540" s="96"/>
      <c r="N540" s="97"/>
      <c r="O540" s="98"/>
      <c r="P540" s="99"/>
      <c r="Q540" s="100"/>
    </row>
    <row r="541" spans="10:17" ht="15.75" customHeight="1" x14ac:dyDescent="0.25">
      <c r="J541" s="96"/>
      <c r="N541" s="97"/>
      <c r="O541" s="98"/>
      <c r="P541" s="99"/>
      <c r="Q541" s="100"/>
    </row>
    <row r="542" spans="10:17" ht="15.75" customHeight="1" x14ac:dyDescent="0.25">
      <c r="J542" s="96"/>
      <c r="N542" s="97"/>
      <c r="O542" s="98"/>
      <c r="P542" s="99"/>
      <c r="Q542" s="100"/>
    </row>
    <row r="543" spans="10:17" ht="15.75" customHeight="1" x14ac:dyDescent="0.25">
      <c r="J543" s="96"/>
      <c r="N543" s="97"/>
      <c r="O543" s="98"/>
      <c r="P543" s="99"/>
      <c r="Q543" s="100"/>
    </row>
    <row r="544" spans="10:17" ht="15.75" customHeight="1" x14ac:dyDescent="0.25">
      <c r="J544" s="96"/>
      <c r="N544" s="97"/>
      <c r="O544" s="98"/>
      <c r="P544" s="99"/>
      <c r="Q544" s="100"/>
    </row>
    <row r="545" spans="10:17" ht="15.75" customHeight="1" x14ac:dyDescent="0.25">
      <c r="J545" s="96"/>
      <c r="N545" s="97"/>
      <c r="O545" s="98"/>
      <c r="P545" s="99"/>
      <c r="Q545" s="100"/>
    </row>
    <row r="546" spans="10:17" ht="15.75" customHeight="1" x14ac:dyDescent="0.25">
      <c r="J546" s="96"/>
      <c r="N546" s="97"/>
      <c r="O546" s="98"/>
      <c r="P546" s="99"/>
      <c r="Q546" s="100"/>
    </row>
    <row r="547" spans="10:17" ht="15.75" customHeight="1" x14ac:dyDescent="0.25">
      <c r="J547" s="96"/>
      <c r="N547" s="97"/>
      <c r="O547" s="98"/>
      <c r="P547" s="99"/>
      <c r="Q547" s="100"/>
    </row>
    <row r="548" spans="10:17" ht="15.75" customHeight="1" x14ac:dyDescent="0.25">
      <c r="J548" s="96"/>
      <c r="N548" s="97"/>
      <c r="O548" s="98"/>
      <c r="P548" s="99"/>
      <c r="Q548" s="100"/>
    </row>
    <row r="549" spans="10:17" ht="15.75" customHeight="1" x14ac:dyDescent="0.25">
      <c r="J549" s="96"/>
      <c r="N549" s="97"/>
      <c r="O549" s="98"/>
      <c r="P549" s="99"/>
      <c r="Q549" s="100"/>
    </row>
    <row r="550" spans="10:17" ht="15.75" customHeight="1" x14ac:dyDescent="0.25">
      <c r="J550" s="96"/>
      <c r="N550" s="97"/>
      <c r="O550" s="98"/>
      <c r="P550" s="99"/>
      <c r="Q550" s="100"/>
    </row>
    <row r="551" spans="10:17" ht="15.75" customHeight="1" x14ac:dyDescent="0.25">
      <c r="J551" s="96"/>
      <c r="N551" s="97"/>
      <c r="O551" s="98"/>
      <c r="P551" s="99"/>
      <c r="Q551" s="100"/>
    </row>
    <row r="552" spans="10:17" ht="15.75" customHeight="1" x14ac:dyDescent="0.25">
      <c r="J552" s="96"/>
      <c r="N552" s="97"/>
      <c r="O552" s="98"/>
      <c r="P552" s="99"/>
      <c r="Q552" s="100"/>
    </row>
    <row r="553" spans="10:17" ht="15.75" customHeight="1" x14ac:dyDescent="0.25">
      <c r="J553" s="96"/>
      <c r="N553" s="97"/>
      <c r="O553" s="98"/>
      <c r="P553" s="99"/>
      <c r="Q553" s="100"/>
    </row>
    <row r="554" spans="10:17" ht="15.75" customHeight="1" x14ac:dyDescent="0.25">
      <c r="J554" s="96"/>
      <c r="N554" s="97"/>
      <c r="O554" s="98"/>
      <c r="P554" s="99"/>
      <c r="Q554" s="100"/>
    </row>
    <row r="555" spans="10:17" ht="15.75" customHeight="1" x14ac:dyDescent="0.25">
      <c r="J555" s="96"/>
      <c r="N555" s="97"/>
      <c r="O555" s="98"/>
      <c r="P555" s="99"/>
      <c r="Q555" s="100"/>
    </row>
    <row r="556" spans="10:17" ht="15.75" customHeight="1" x14ac:dyDescent="0.25">
      <c r="J556" s="96"/>
      <c r="N556" s="97"/>
      <c r="O556" s="98"/>
      <c r="P556" s="99"/>
      <c r="Q556" s="100"/>
    </row>
    <row r="557" spans="10:17" ht="15.75" customHeight="1" x14ac:dyDescent="0.25">
      <c r="J557" s="96"/>
      <c r="N557" s="97"/>
      <c r="O557" s="98"/>
      <c r="P557" s="99"/>
      <c r="Q557" s="100"/>
    </row>
    <row r="558" spans="10:17" ht="15.75" customHeight="1" x14ac:dyDescent="0.25">
      <c r="J558" s="96"/>
      <c r="N558" s="97"/>
      <c r="O558" s="98"/>
      <c r="P558" s="99"/>
      <c r="Q558" s="100"/>
    </row>
    <row r="559" spans="10:17" ht="15.75" customHeight="1" x14ac:dyDescent="0.25">
      <c r="J559" s="96"/>
      <c r="N559" s="97"/>
      <c r="O559" s="98"/>
      <c r="P559" s="99"/>
      <c r="Q559" s="100"/>
    </row>
    <row r="560" spans="10:17" ht="15.75" customHeight="1" x14ac:dyDescent="0.25">
      <c r="J560" s="96"/>
      <c r="N560" s="97"/>
      <c r="O560" s="98"/>
      <c r="P560" s="99"/>
      <c r="Q560" s="100"/>
    </row>
    <row r="561" spans="10:17" ht="15.75" customHeight="1" x14ac:dyDescent="0.25">
      <c r="J561" s="96"/>
      <c r="N561" s="97"/>
      <c r="O561" s="98"/>
      <c r="P561" s="99"/>
      <c r="Q561" s="100"/>
    </row>
    <row r="562" spans="10:17" ht="15.75" customHeight="1" x14ac:dyDescent="0.25">
      <c r="J562" s="96"/>
      <c r="N562" s="97"/>
      <c r="O562" s="98"/>
      <c r="P562" s="99"/>
      <c r="Q562" s="100"/>
    </row>
    <row r="563" spans="10:17" ht="15.75" customHeight="1" x14ac:dyDescent="0.25">
      <c r="J563" s="96"/>
      <c r="N563" s="97"/>
      <c r="O563" s="98"/>
      <c r="P563" s="99"/>
      <c r="Q563" s="100"/>
    </row>
    <row r="564" spans="10:17" ht="15.75" customHeight="1" x14ac:dyDescent="0.25">
      <c r="J564" s="96"/>
      <c r="N564" s="97"/>
      <c r="O564" s="98"/>
      <c r="P564" s="99"/>
      <c r="Q564" s="100"/>
    </row>
    <row r="565" spans="10:17" ht="15.75" customHeight="1" x14ac:dyDescent="0.25">
      <c r="J565" s="96"/>
      <c r="N565" s="97"/>
      <c r="O565" s="98"/>
      <c r="P565" s="99"/>
      <c r="Q565" s="100"/>
    </row>
    <row r="566" spans="10:17" ht="15.75" customHeight="1" x14ac:dyDescent="0.25">
      <c r="J566" s="96"/>
      <c r="N566" s="97"/>
      <c r="O566" s="98"/>
      <c r="P566" s="99"/>
      <c r="Q566" s="100"/>
    </row>
    <row r="567" spans="10:17" ht="15.75" customHeight="1" x14ac:dyDescent="0.25">
      <c r="J567" s="96"/>
      <c r="N567" s="97"/>
      <c r="O567" s="98"/>
      <c r="P567" s="99"/>
      <c r="Q567" s="100"/>
    </row>
    <row r="568" spans="10:17" ht="15.75" customHeight="1" x14ac:dyDescent="0.25">
      <c r="J568" s="96"/>
      <c r="N568" s="97"/>
      <c r="O568" s="98"/>
      <c r="P568" s="99"/>
      <c r="Q568" s="100"/>
    </row>
    <row r="569" spans="10:17" ht="15.75" customHeight="1" x14ac:dyDescent="0.25">
      <c r="J569" s="96"/>
      <c r="N569" s="97"/>
      <c r="O569" s="98"/>
      <c r="P569" s="99"/>
      <c r="Q569" s="100"/>
    </row>
    <row r="570" spans="10:17" ht="15.75" customHeight="1" x14ac:dyDescent="0.25">
      <c r="J570" s="96"/>
      <c r="N570" s="97"/>
      <c r="O570" s="98"/>
      <c r="P570" s="99"/>
      <c r="Q570" s="100"/>
    </row>
    <row r="571" spans="10:17" ht="15.75" customHeight="1" x14ac:dyDescent="0.25">
      <c r="J571" s="96"/>
      <c r="N571" s="97"/>
      <c r="O571" s="98"/>
      <c r="P571" s="99"/>
      <c r="Q571" s="100"/>
    </row>
    <row r="572" spans="10:17" ht="15.75" customHeight="1" x14ac:dyDescent="0.25">
      <c r="J572" s="96"/>
      <c r="N572" s="97"/>
      <c r="O572" s="98"/>
      <c r="P572" s="99"/>
      <c r="Q572" s="100"/>
    </row>
    <row r="573" spans="10:17" ht="15.75" customHeight="1" x14ac:dyDescent="0.25">
      <c r="J573" s="96"/>
      <c r="N573" s="97"/>
      <c r="O573" s="98"/>
      <c r="P573" s="99"/>
      <c r="Q573" s="100"/>
    </row>
    <row r="574" spans="10:17" ht="15.75" customHeight="1" x14ac:dyDescent="0.25">
      <c r="J574" s="96"/>
      <c r="N574" s="97"/>
      <c r="O574" s="98"/>
      <c r="P574" s="99"/>
      <c r="Q574" s="100"/>
    </row>
    <row r="575" spans="10:17" ht="15.75" customHeight="1" x14ac:dyDescent="0.25">
      <c r="J575" s="96"/>
      <c r="N575" s="97"/>
      <c r="O575" s="98"/>
      <c r="P575" s="99"/>
      <c r="Q575" s="100"/>
    </row>
    <row r="576" spans="10:17" ht="15.75" customHeight="1" x14ac:dyDescent="0.25">
      <c r="J576" s="96"/>
      <c r="N576" s="97"/>
      <c r="O576" s="98"/>
      <c r="P576" s="99"/>
      <c r="Q576" s="100"/>
    </row>
    <row r="577" spans="10:17" ht="15.75" customHeight="1" x14ac:dyDescent="0.25">
      <c r="J577" s="96"/>
      <c r="N577" s="97"/>
      <c r="O577" s="98"/>
      <c r="P577" s="99"/>
      <c r="Q577" s="100"/>
    </row>
    <row r="578" spans="10:17" ht="15.75" customHeight="1" x14ac:dyDescent="0.25">
      <c r="J578" s="96"/>
      <c r="N578" s="97"/>
      <c r="O578" s="98"/>
      <c r="P578" s="99"/>
      <c r="Q578" s="100"/>
    </row>
    <row r="579" spans="10:17" ht="15.75" customHeight="1" x14ac:dyDescent="0.25">
      <c r="J579" s="96"/>
      <c r="N579" s="97"/>
      <c r="O579" s="98"/>
      <c r="P579" s="99"/>
      <c r="Q579" s="100"/>
    </row>
    <row r="580" spans="10:17" ht="15.75" customHeight="1" x14ac:dyDescent="0.25">
      <c r="J580" s="96"/>
      <c r="N580" s="97"/>
      <c r="O580" s="98"/>
      <c r="P580" s="99"/>
      <c r="Q580" s="100"/>
    </row>
    <row r="581" spans="10:17" ht="15.75" customHeight="1" x14ac:dyDescent="0.25">
      <c r="J581" s="96"/>
      <c r="N581" s="97"/>
      <c r="O581" s="98"/>
      <c r="P581" s="99"/>
      <c r="Q581" s="100"/>
    </row>
    <row r="582" spans="10:17" ht="15.75" customHeight="1" x14ac:dyDescent="0.25">
      <c r="J582" s="96"/>
      <c r="N582" s="97"/>
      <c r="O582" s="98"/>
      <c r="P582" s="99"/>
      <c r="Q582" s="100"/>
    </row>
    <row r="583" spans="10:17" ht="15.75" customHeight="1" x14ac:dyDescent="0.25">
      <c r="J583" s="96"/>
      <c r="N583" s="97"/>
      <c r="O583" s="98"/>
      <c r="P583" s="99"/>
      <c r="Q583" s="100"/>
    </row>
    <row r="584" spans="10:17" ht="15.75" customHeight="1" x14ac:dyDescent="0.25">
      <c r="J584" s="96"/>
      <c r="N584" s="97"/>
      <c r="O584" s="98"/>
      <c r="P584" s="99"/>
      <c r="Q584" s="100"/>
    </row>
    <row r="585" spans="10:17" ht="15.75" customHeight="1" x14ac:dyDescent="0.25">
      <c r="J585" s="96"/>
      <c r="N585" s="97"/>
      <c r="O585" s="98"/>
      <c r="P585" s="99"/>
      <c r="Q585" s="100"/>
    </row>
    <row r="586" spans="10:17" ht="15.75" customHeight="1" x14ac:dyDescent="0.25">
      <c r="J586" s="96"/>
      <c r="N586" s="97"/>
      <c r="O586" s="98"/>
      <c r="P586" s="99"/>
      <c r="Q586" s="100"/>
    </row>
    <row r="587" spans="10:17" ht="15.75" customHeight="1" x14ac:dyDescent="0.25">
      <c r="J587" s="96"/>
      <c r="N587" s="97"/>
      <c r="O587" s="98"/>
      <c r="P587" s="99"/>
      <c r="Q587" s="100"/>
    </row>
    <row r="588" spans="10:17" ht="15.75" customHeight="1" x14ac:dyDescent="0.25">
      <c r="J588" s="96"/>
      <c r="N588" s="97"/>
      <c r="O588" s="98"/>
      <c r="P588" s="99"/>
      <c r="Q588" s="100"/>
    </row>
    <row r="589" spans="10:17" ht="15.75" customHeight="1" x14ac:dyDescent="0.25">
      <c r="J589" s="96"/>
      <c r="N589" s="97"/>
      <c r="O589" s="98"/>
      <c r="P589" s="99"/>
      <c r="Q589" s="100"/>
    </row>
    <row r="590" spans="10:17" ht="15.75" customHeight="1" x14ac:dyDescent="0.25">
      <c r="J590" s="96"/>
      <c r="N590" s="97"/>
      <c r="O590" s="98"/>
      <c r="P590" s="99"/>
      <c r="Q590" s="100"/>
    </row>
    <row r="591" spans="10:17" ht="15.75" customHeight="1" x14ac:dyDescent="0.25">
      <c r="J591" s="96"/>
      <c r="N591" s="97"/>
      <c r="O591" s="98"/>
      <c r="P591" s="99"/>
      <c r="Q591" s="100"/>
    </row>
    <row r="592" spans="10:17" ht="15.75" customHeight="1" x14ac:dyDescent="0.25">
      <c r="J592" s="96"/>
      <c r="N592" s="97"/>
      <c r="O592" s="98"/>
      <c r="P592" s="99"/>
      <c r="Q592" s="100"/>
    </row>
    <row r="593" spans="10:17" ht="15.75" customHeight="1" x14ac:dyDescent="0.25">
      <c r="J593" s="96"/>
      <c r="N593" s="97"/>
      <c r="O593" s="98"/>
      <c r="P593" s="99"/>
      <c r="Q593" s="100"/>
    </row>
    <row r="594" spans="10:17" ht="15.75" customHeight="1" x14ac:dyDescent="0.25">
      <c r="J594" s="96"/>
      <c r="N594" s="97"/>
      <c r="O594" s="98"/>
      <c r="P594" s="99"/>
      <c r="Q594" s="100"/>
    </row>
    <row r="595" spans="10:17" ht="15.75" customHeight="1" x14ac:dyDescent="0.25">
      <c r="J595" s="96"/>
      <c r="N595" s="97"/>
      <c r="O595" s="98"/>
      <c r="P595" s="99"/>
      <c r="Q595" s="100"/>
    </row>
    <row r="596" spans="10:17" ht="15.75" customHeight="1" x14ac:dyDescent="0.25">
      <c r="J596" s="96"/>
      <c r="N596" s="97"/>
      <c r="O596" s="98"/>
      <c r="P596" s="99"/>
      <c r="Q596" s="100"/>
    </row>
    <row r="597" spans="10:17" ht="15.75" customHeight="1" x14ac:dyDescent="0.25">
      <c r="J597" s="96"/>
      <c r="N597" s="97"/>
      <c r="O597" s="98"/>
      <c r="P597" s="99"/>
      <c r="Q597" s="100"/>
    </row>
    <row r="598" spans="10:17" ht="15.75" customHeight="1" x14ac:dyDescent="0.25">
      <c r="J598" s="96"/>
      <c r="N598" s="97"/>
      <c r="O598" s="98"/>
      <c r="P598" s="99"/>
      <c r="Q598" s="100"/>
    </row>
    <row r="599" spans="10:17" ht="15.75" customHeight="1" x14ac:dyDescent="0.25">
      <c r="J599" s="96"/>
      <c r="N599" s="97"/>
      <c r="O599" s="98"/>
      <c r="P599" s="99"/>
      <c r="Q599" s="100"/>
    </row>
    <row r="600" spans="10:17" ht="15.75" customHeight="1" x14ac:dyDescent="0.25">
      <c r="J600" s="96"/>
      <c r="N600" s="97"/>
      <c r="O600" s="98"/>
      <c r="P600" s="99"/>
      <c r="Q600" s="100"/>
    </row>
    <row r="601" spans="10:17" ht="15.75" customHeight="1" x14ac:dyDescent="0.25">
      <c r="J601" s="96"/>
      <c r="N601" s="97"/>
      <c r="O601" s="98"/>
      <c r="P601" s="99"/>
      <c r="Q601" s="100"/>
    </row>
    <row r="602" spans="10:17" ht="15.75" customHeight="1" x14ac:dyDescent="0.25">
      <c r="J602" s="96"/>
      <c r="N602" s="97"/>
      <c r="O602" s="98"/>
      <c r="P602" s="99"/>
      <c r="Q602" s="100"/>
    </row>
    <row r="603" spans="10:17" ht="15.75" customHeight="1" x14ac:dyDescent="0.25">
      <c r="J603" s="96"/>
      <c r="N603" s="97"/>
      <c r="O603" s="98"/>
      <c r="P603" s="99"/>
      <c r="Q603" s="100"/>
    </row>
    <row r="604" spans="10:17" ht="15.75" customHeight="1" x14ac:dyDescent="0.25">
      <c r="J604" s="96"/>
      <c r="N604" s="97"/>
      <c r="O604" s="98"/>
      <c r="P604" s="99"/>
      <c r="Q604" s="100"/>
    </row>
    <row r="605" spans="10:17" ht="15.75" customHeight="1" x14ac:dyDescent="0.25">
      <c r="J605" s="96"/>
      <c r="N605" s="97"/>
      <c r="O605" s="98"/>
      <c r="P605" s="99"/>
      <c r="Q605" s="100"/>
    </row>
    <row r="606" spans="10:17" ht="15.75" customHeight="1" x14ac:dyDescent="0.25">
      <c r="J606" s="96"/>
      <c r="N606" s="97"/>
      <c r="O606" s="98"/>
      <c r="P606" s="99"/>
      <c r="Q606" s="100"/>
    </row>
    <row r="607" spans="10:17" ht="15.75" customHeight="1" x14ac:dyDescent="0.25">
      <c r="J607" s="96"/>
      <c r="N607" s="97"/>
      <c r="O607" s="98"/>
      <c r="P607" s="99"/>
      <c r="Q607" s="100"/>
    </row>
    <row r="608" spans="10:17" ht="15.75" customHeight="1" x14ac:dyDescent="0.25">
      <c r="J608" s="96"/>
      <c r="N608" s="97"/>
      <c r="O608" s="98"/>
      <c r="P608" s="99"/>
      <c r="Q608" s="100"/>
    </row>
    <row r="609" spans="10:17" ht="15.75" customHeight="1" x14ac:dyDescent="0.25">
      <c r="J609" s="96"/>
      <c r="N609" s="97"/>
      <c r="O609" s="98"/>
      <c r="P609" s="99"/>
      <c r="Q609" s="100"/>
    </row>
    <row r="610" spans="10:17" ht="15.75" customHeight="1" x14ac:dyDescent="0.25">
      <c r="J610" s="96"/>
      <c r="N610" s="97"/>
      <c r="O610" s="98"/>
      <c r="P610" s="99"/>
      <c r="Q610" s="100"/>
    </row>
    <row r="611" spans="10:17" ht="15.75" customHeight="1" x14ac:dyDescent="0.25">
      <c r="J611" s="96"/>
      <c r="N611" s="97"/>
      <c r="O611" s="98"/>
      <c r="P611" s="99"/>
      <c r="Q611" s="100"/>
    </row>
    <row r="612" spans="10:17" ht="15.75" customHeight="1" x14ac:dyDescent="0.25">
      <c r="J612" s="96"/>
      <c r="N612" s="97"/>
      <c r="O612" s="98"/>
      <c r="P612" s="99"/>
      <c r="Q612" s="100"/>
    </row>
    <row r="613" spans="10:17" ht="15.75" customHeight="1" x14ac:dyDescent="0.25">
      <c r="J613" s="96"/>
      <c r="N613" s="97"/>
      <c r="O613" s="98"/>
      <c r="P613" s="99"/>
      <c r="Q613" s="100"/>
    </row>
    <row r="614" spans="10:17" ht="15.75" customHeight="1" x14ac:dyDescent="0.25">
      <c r="J614" s="96"/>
      <c r="N614" s="97"/>
      <c r="O614" s="98"/>
      <c r="P614" s="99"/>
      <c r="Q614" s="100"/>
    </row>
    <row r="615" spans="10:17" ht="15.75" customHeight="1" x14ac:dyDescent="0.25">
      <c r="J615" s="96"/>
      <c r="N615" s="97"/>
      <c r="O615" s="98"/>
      <c r="P615" s="99"/>
      <c r="Q615" s="100"/>
    </row>
    <row r="616" spans="10:17" ht="15.75" customHeight="1" x14ac:dyDescent="0.25">
      <c r="J616" s="96"/>
      <c r="N616" s="97"/>
      <c r="O616" s="98"/>
      <c r="P616" s="99"/>
      <c r="Q616" s="100"/>
    </row>
    <row r="617" spans="10:17" ht="15.75" customHeight="1" x14ac:dyDescent="0.25">
      <c r="J617" s="96"/>
      <c r="N617" s="97"/>
      <c r="O617" s="98"/>
      <c r="P617" s="99"/>
      <c r="Q617" s="100"/>
    </row>
    <row r="618" spans="10:17" ht="15.75" customHeight="1" x14ac:dyDescent="0.25">
      <c r="J618" s="96"/>
      <c r="N618" s="97"/>
      <c r="O618" s="98"/>
      <c r="P618" s="99"/>
      <c r="Q618" s="100"/>
    </row>
    <row r="619" spans="10:17" ht="15.75" customHeight="1" x14ac:dyDescent="0.25">
      <c r="J619" s="96"/>
      <c r="N619" s="97"/>
      <c r="O619" s="98"/>
      <c r="P619" s="99"/>
      <c r="Q619" s="100"/>
    </row>
    <row r="620" spans="10:17" ht="15.75" customHeight="1" x14ac:dyDescent="0.25">
      <c r="J620" s="96"/>
      <c r="N620" s="97"/>
      <c r="O620" s="98"/>
      <c r="P620" s="99"/>
      <c r="Q620" s="100"/>
    </row>
    <row r="621" spans="10:17" ht="15.75" customHeight="1" x14ac:dyDescent="0.25">
      <c r="J621" s="96"/>
      <c r="N621" s="97"/>
      <c r="O621" s="98"/>
      <c r="P621" s="99"/>
      <c r="Q621" s="100"/>
    </row>
    <row r="622" spans="10:17" ht="15.75" customHeight="1" x14ac:dyDescent="0.25">
      <c r="J622" s="96"/>
      <c r="N622" s="97"/>
      <c r="O622" s="98"/>
      <c r="P622" s="99"/>
      <c r="Q622" s="100"/>
    </row>
    <row r="623" spans="10:17" ht="15.75" customHeight="1" x14ac:dyDescent="0.25">
      <c r="J623" s="96"/>
      <c r="N623" s="97"/>
      <c r="O623" s="98"/>
      <c r="P623" s="99"/>
      <c r="Q623" s="100"/>
    </row>
    <row r="624" spans="10:17" ht="15.75" customHeight="1" x14ac:dyDescent="0.25">
      <c r="J624" s="96"/>
      <c r="N624" s="97"/>
      <c r="O624" s="98"/>
      <c r="P624" s="99"/>
      <c r="Q624" s="100"/>
    </row>
    <row r="625" spans="10:17" ht="15.75" customHeight="1" x14ac:dyDescent="0.25">
      <c r="J625" s="96"/>
      <c r="N625" s="97"/>
      <c r="O625" s="98"/>
      <c r="P625" s="99"/>
      <c r="Q625" s="100"/>
    </row>
    <row r="626" spans="10:17" ht="15.75" customHeight="1" x14ac:dyDescent="0.25">
      <c r="J626" s="96"/>
      <c r="N626" s="97"/>
      <c r="O626" s="98"/>
      <c r="P626" s="99"/>
      <c r="Q626" s="100"/>
    </row>
    <row r="627" spans="10:17" ht="15.75" customHeight="1" x14ac:dyDescent="0.25">
      <c r="J627" s="96"/>
      <c r="N627" s="97"/>
      <c r="O627" s="98"/>
      <c r="P627" s="99"/>
      <c r="Q627" s="100"/>
    </row>
    <row r="628" spans="10:17" ht="15.75" customHeight="1" x14ac:dyDescent="0.25">
      <c r="J628" s="96"/>
      <c r="N628" s="97"/>
      <c r="O628" s="98"/>
      <c r="P628" s="99"/>
      <c r="Q628" s="100"/>
    </row>
    <row r="629" spans="10:17" ht="15.75" customHeight="1" x14ac:dyDescent="0.25">
      <c r="J629" s="96"/>
      <c r="N629" s="97"/>
      <c r="O629" s="98"/>
      <c r="P629" s="99"/>
      <c r="Q629" s="100"/>
    </row>
    <row r="630" spans="10:17" ht="15.75" customHeight="1" x14ac:dyDescent="0.25">
      <c r="J630" s="96"/>
      <c r="N630" s="97"/>
      <c r="O630" s="98"/>
      <c r="P630" s="99"/>
      <c r="Q630" s="100"/>
    </row>
    <row r="631" spans="10:17" ht="15.75" customHeight="1" x14ac:dyDescent="0.25">
      <c r="J631" s="96"/>
      <c r="N631" s="97"/>
      <c r="O631" s="98"/>
      <c r="P631" s="99"/>
      <c r="Q631" s="100"/>
    </row>
    <row r="632" spans="10:17" ht="15.75" customHeight="1" x14ac:dyDescent="0.25">
      <c r="J632" s="96"/>
      <c r="N632" s="97"/>
      <c r="O632" s="98"/>
      <c r="P632" s="99"/>
      <c r="Q632" s="100"/>
    </row>
    <row r="633" spans="10:17" ht="15.75" customHeight="1" x14ac:dyDescent="0.25">
      <c r="J633" s="96"/>
      <c r="N633" s="97"/>
      <c r="O633" s="98"/>
      <c r="P633" s="99"/>
      <c r="Q633" s="100"/>
    </row>
    <row r="634" spans="10:17" ht="15.75" customHeight="1" x14ac:dyDescent="0.25">
      <c r="J634" s="96"/>
      <c r="N634" s="97"/>
      <c r="O634" s="98"/>
      <c r="P634" s="99"/>
      <c r="Q634" s="100"/>
    </row>
    <row r="635" spans="10:17" ht="15.75" customHeight="1" x14ac:dyDescent="0.25">
      <c r="J635" s="96"/>
      <c r="N635" s="97"/>
      <c r="O635" s="98"/>
      <c r="P635" s="99"/>
      <c r="Q635" s="100"/>
    </row>
    <row r="636" spans="10:17" ht="15.75" customHeight="1" x14ac:dyDescent="0.25">
      <c r="J636" s="96"/>
      <c r="N636" s="97"/>
      <c r="O636" s="98"/>
      <c r="P636" s="99"/>
      <c r="Q636" s="100"/>
    </row>
    <row r="637" spans="10:17" ht="15.75" customHeight="1" x14ac:dyDescent="0.25">
      <c r="J637" s="96"/>
      <c r="N637" s="97"/>
      <c r="O637" s="98"/>
      <c r="P637" s="99"/>
      <c r="Q637" s="100"/>
    </row>
    <row r="638" spans="10:17" ht="15.75" customHeight="1" x14ac:dyDescent="0.25">
      <c r="J638" s="96"/>
      <c r="N638" s="97"/>
      <c r="O638" s="98"/>
      <c r="P638" s="99"/>
      <c r="Q638" s="100"/>
    </row>
    <row r="639" spans="10:17" ht="15.75" customHeight="1" x14ac:dyDescent="0.25">
      <c r="J639" s="96"/>
      <c r="N639" s="97"/>
      <c r="O639" s="98"/>
      <c r="P639" s="99"/>
      <c r="Q639" s="100"/>
    </row>
    <row r="640" spans="10:17" ht="15.75" customHeight="1" x14ac:dyDescent="0.25">
      <c r="J640" s="96"/>
      <c r="N640" s="97"/>
      <c r="O640" s="98"/>
      <c r="P640" s="99"/>
      <c r="Q640" s="100"/>
    </row>
    <row r="641" spans="10:17" ht="15.75" customHeight="1" x14ac:dyDescent="0.25">
      <c r="J641" s="96"/>
      <c r="N641" s="97"/>
      <c r="O641" s="98"/>
      <c r="P641" s="99"/>
      <c r="Q641" s="100"/>
    </row>
    <row r="642" spans="10:17" ht="15.75" customHeight="1" x14ac:dyDescent="0.25">
      <c r="J642" s="96"/>
      <c r="N642" s="97"/>
      <c r="O642" s="98"/>
      <c r="P642" s="99"/>
      <c r="Q642" s="100"/>
    </row>
    <row r="643" spans="10:17" ht="15.75" customHeight="1" x14ac:dyDescent="0.25">
      <c r="J643" s="96"/>
      <c r="N643" s="97"/>
      <c r="O643" s="98"/>
      <c r="P643" s="99"/>
      <c r="Q643" s="100"/>
    </row>
    <row r="644" spans="10:17" ht="15.75" customHeight="1" x14ac:dyDescent="0.25">
      <c r="J644" s="96"/>
      <c r="N644" s="97"/>
      <c r="O644" s="98"/>
      <c r="P644" s="99"/>
      <c r="Q644" s="100"/>
    </row>
    <row r="645" spans="10:17" ht="15.75" customHeight="1" x14ac:dyDescent="0.25">
      <c r="J645" s="96"/>
      <c r="N645" s="97"/>
      <c r="O645" s="98"/>
      <c r="P645" s="99"/>
      <c r="Q645" s="100"/>
    </row>
    <row r="646" spans="10:17" ht="15.75" customHeight="1" x14ac:dyDescent="0.25">
      <c r="J646" s="96"/>
      <c r="N646" s="97"/>
      <c r="O646" s="98"/>
      <c r="P646" s="99"/>
      <c r="Q646" s="100"/>
    </row>
    <row r="647" spans="10:17" ht="15.75" customHeight="1" x14ac:dyDescent="0.25">
      <c r="J647" s="96"/>
      <c r="N647" s="97"/>
      <c r="O647" s="98"/>
      <c r="P647" s="99"/>
      <c r="Q647" s="100"/>
    </row>
    <row r="648" spans="10:17" ht="15.75" customHeight="1" x14ac:dyDescent="0.25">
      <c r="J648" s="96"/>
      <c r="N648" s="97"/>
      <c r="O648" s="98"/>
      <c r="P648" s="99"/>
      <c r="Q648" s="100"/>
    </row>
    <row r="649" spans="10:17" ht="15.75" customHeight="1" x14ac:dyDescent="0.25">
      <c r="J649" s="96"/>
      <c r="N649" s="97"/>
      <c r="O649" s="98"/>
      <c r="P649" s="99"/>
      <c r="Q649" s="100"/>
    </row>
    <row r="650" spans="10:17" ht="15.75" customHeight="1" x14ac:dyDescent="0.25">
      <c r="J650" s="96"/>
      <c r="N650" s="97"/>
      <c r="O650" s="98"/>
      <c r="P650" s="99"/>
      <c r="Q650" s="100"/>
    </row>
    <row r="651" spans="10:17" ht="15.75" customHeight="1" x14ac:dyDescent="0.25">
      <c r="J651" s="96"/>
      <c r="N651" s="97"/>
      <c r="O651" s="98"/>
      <c r="P651" s="99"/>
      <c r="Q651" s="100"/>
    </row>
    <row r="652" spans="10:17" ht="15.75" customHeight="1" x14ac:dyDescent="0.25">
      <c r="J652" s="96"/>
      <c r="N652" s="97"/>
      <c r="O652" s="98"/>
      <c r="P652" s="99"/>
      <c r="Q652" s="100"/>
    </row>
    <row r="653" spans="10:17" ht="15.75" customHeight="1" x14ac:dyDescent="0.25">
      <c r="J653" s="96"/>
      <c r="N653" s="97"/>
      <c r="O653" s="98"/>
      <c r="P653" s="99"/>
      <c r="Q653" s="100"/>
    </row>
    <row r="654" spans="10:17" ht="15.75" customHeight="1" x14ac:dyDescent="0.25">
      <c r="J654" s="96"/>
      <c r="N654" s="97"/>
      <c r="O654" s="98"/>
      <c r="P654" s="99"/>
      <c r="Q654" s="100"/>
    </row>
    <row r="655" spans="10:17" ht="15.75" customHeight="1" x14ac:dyDescent="0.25">
      <c r="J655" s="96"/>
      <c r="N655" s="97"/>
      <c r="O655" s="98"/>
      <c r="P655" s="99"/>
      <c r="Q655" s="100"/>
    </row>
    <row r="656" spans="10:17" ht="15.75" customHeight="1" x14ac:dyDescent="0.25">
      <c r="J656" s="96"/>
      <c r="N656" s="97"/>
      <c r="O656" s="98"/>
      <c r="P656" s="99"/>
      <c r="Q656" s="100"/>
    </row>
    <row r="657" spans="10:17" ht="15.75" customHeight="1" x14ac:dyDescent="0.25">
      <c r="J657" s="96"/>
      <c r="N657" s="97"/>
      <c r="O657" s="98"/>
      <c r="P657" s="99"/>
      <c r="Q657" s="100"/>
    </row>
    <row r="658" spans="10:17" ht="15.75" customHeight="1" x14ac:dyDescent="0.25">
      <c r="J658" s="96"/>
      <c r="N658" s="97"/>
      <c r="O658" s="98"/>
      <c r="P658" s="99"/>
      <c r="Q658" s="100"/>
    </row>
    <row r="659" spans="10:17" ht="15.75" customHeight="1" x14ac:dyDescent="0.25">
      <c r="J659" s="96"/>
      <c r="N659" s="97"/>
      <c r="O659" s="98"/>
      <c r="P659" s="99"/>
      <c r="Q659" s="100"/>
    </row>
    <row r="660" spans="10:17" ht="15.75" customHeight="1" x14ac:dyDescent="0.25">
      <c r="J660" s="96"/>
      <c r="N660" s="97"/>
      <c r="O660" s="98"/>
      <c r="P660" s="99"/>
      <c r="Q660" s="100"/>
    </row>
    <row r="661" spans="10:17" ht="15.75" customHeight="1" x14ac:dyDescent="0.25">
      <c r="J661" s="96"/>
      <c r="N661" s="97"/>
      <c r="O661" s="98"/>
      <c r="P661" s="99"/>
      <c r="Q661" s="100"/>
    </row>
    <row r="662" spans="10:17" ht="15.75" customHeight="1" x14ac:dyDescent="0.25">
      <c r="J662" s="96"/>
      <c r="N662" s="97"/>
      <c r="O662" s="98"/>
      <c r="P662" s="99"/>
      <c r="Q662" s="100"/>
    </row>
    <row r="663" spans="10:17" ht="15.75" customHeight="1" x14ac:dyDescent="0.25">
      <c r="J663" s="96"/>
      <c r="N663" s="97"/>
      <c r="O663" s="98"/>
      <c r="P663" s="99"/>
      <c r="Q663" s="100"/>
    </row>
    <row r="664" spans="10:17" ht="15.75" customHeight="1" x14ac:dyDescent="0.25">
      <c r="J664" s="96"/>
      <c r="N664" s="97"/>
      <c r="O664" s="98"/>
      <c r="P664" s="99"/>
      <c r="Q664" s="100"/>
    </row>
    <row r="665" spans="10:17" ht="15.75" customHeight="1" x14ac:dyDescent="0.25">
      <c r="J665" s="96"/>
      <c r="N665" s="97"/>
      <c r="O665" s="98"/>
      <c r="P665" s="99"/>
      <c r="Q665" s="100"/>
    </row>
    <row r="666" spans="10:17" ht="15.75" customHeight="1" x14ac:dyDescent="0.25">
      <c r="J666" s="96"/>
      <c r="N666" s="97"/>
      <c r="O666" s="98"/>
      <c r="P666" s="99"/>
      <c r="Q666" s="100"/>
    </row>
    <row r="667" spans="10:17" ht="15.75" customHeight="1" x14ac:dyDescent="0.25">
      <c r="J667" s="96"/>
      <c r="N667" s="97"/>
      <c r="O667" s="98"/>
      <c r="P667" s="99"/>
      <c r="Q667" s="100"/>
    </row>
    <row r="668" spans="10:17" ht="15.75" customHeight="1" x14ac:dyDescent="0.25">
      <c r="J668" s="96"/>
      <c r="N668" s="97"/>
      <c r="O668" s="98"/>
      <c r="P668" s="99"/>
      <c r="Q668" s="100"/>
    </row>
    <row r="669" spans="10:17" ht="15.75" customHeight="1" x14ac:dyDescent="0.25">
      <c r="J669" s="96"/>
      <c r="N669" s="97"/>
      <c r="O669" s="98"/>
      <c r="P669" s="99"/>
      <c r="Q669" s="100"/>
    </row>
    <row r="670" spans="10:17" ht="15.75" customHeight="1" x14ac:dyDescent="0.25">
      <c r="J670" s="96"/>
      <c r="N670" s="97"/>
      <c r="O670" s="98"/>
      <c r="P670" s="99"/>
      <c r="Q670" s="100"/>
    </row>
    <row r="671" spans="10:17" ht="15.75" customHeight="1" x14ac:dyDescent="0.25">
      <c r="J671" s="96"/>
      <c r="N671" s="97"/>
      <c r="O671" s="98"/>
      <c r="P671" s="99"/>
      <c r="Q671" s="100"/>
    </row>
    <row r="672" spans="10:17" ht="15.75" customHeight="1" x14ac:dyDescent="0.25">
      <c r="J672" s="96"/>
      <c r="N672" s="97"/>
      <c r="O672" s="98"/>
      <c r="P672" s="99"/>
      <c r="Q672" s="100"/>
    </row>
    <row r="673" spans="10:17" ht="15.75" customHeight="1" x14ac:dyDescent="0.25">
      <c r="J673" s="96"/>
      <c r="N673" s="97"/>
      <c r="O673" s="98"/>
      <c r="P673" s="99"/>
      <c r="Q673" s="100"/>
    </row>
    <row r="674" spans="10:17" ht="15.75" customHeight="1" x14ac:dyDescent="0.25">
      <c r="J674" s="96"/>
      <c r="N674" s="97"/>
      <c r="O674" s="98"/>
      <c r="P674" s="99"/>
      <c r="Q674" s="100"/>
    </row>
    <row r="675" spans="10:17" ht="15.75" customHeight="1" x14ac:dyDescent="0.25">
      <c r="J675" s="96"/>
      <c r="N675" s="97"/>
      <c r="O675" s="98"/>
      <c r="P675" s="99"/>
      <c r="Q675" s="100"/>
    </row>
    <row r="676" spans="10:17" ht="15.75" customHeight="1" x14ac:dyDescent="0.25">
      <c r="J676" s="96"/>
      <c r="N676" s="97"/>
      <c r="O676" s="98"/>
      <c r="P676" s="99"/>
      <c r="Q676" s="100"/>
    </row>
    <row r="677" spans="10:17" ht="15.75" customHeight="1" x14ac:dyDescent="0.25">
      <c r="J677" s="96"/>
      <c r="N677" s="97"/>
      <c r="O677" s="98"/>
      <c r="P677" s="99"/>
      <c r="Q677" s="100"/>
    </row>
    <row r="678" spans="10:17" ht="15.75" customHeight="1" x14ac:dyDescent="0.25">
      <c r="J678" s="96"/>
      <c r="N678" s="97"/>
      <c r="O678" s="98"/>
      <c r="P678" s="99"/>
      <c r="Q678" s="100"/>
    </row>
    <row r="679" spans="10:17" ht="15.75" customHeight="1" x14ac:dyDescent="0.25">
      <c r="J679" s="96"/>
      <c r="N679" s="97"/>
      <c r="O679" s="98"/>
      <c r="P679" s="99"/>
      <c r="Q679" s="100"/>
    </row>
    <row r="680" spans="10:17" ht="15.75" customHeight="1" x14ac:dyDescent="0.25">
      <c r="J680" s="96"/>
      <c r="N680" s="97"/>
      <c r="O680" s="98"/>
      <c r="P680" s="99"/>
      <c r="Q680" s="100"/>
    </row>
    <row r="681" spans="10:17" ht="15.75" customHeight="1" x14ac:dyDescent="0.25">
      <c r="J681" s="96"/>
      <c r="N681" s="97"/>
      <c r="O681" s="98"/>
      <c r="P681" s="99"/>
      <c r="Q681" s="100"/>
    </row>
    <row r="682" spans="10:17" ht="15.75" customHeight="1" x14ac:dyDescent="0.25">
      <c r="J682" s="96"/>
      <c r="N682" s="97"/>
      <c r="O682" s="98"/>
      <c r="P682" s="99"/>
      <c r="Q682" s="100"/>
    </row>
    <row r="683" spans="10:17" ht="15.75" customHeight="1" x14ac:dyDescent="0.25">
      <c r="J683" s="96"/>
      <c r="N683" s="97"/>
      <c r="O683" s="98"/>
      <c r="P683" s="99"/>
      <c r="Q683" s="100"/>
    </row>
    <row r="684" spans="10:17" ht="15.75" customHeight="1" x14ac:dyDescent="0.25">
      <c r="J684" s="96"/>
      <c r="N684" s="97"/>
      <c r="O684" s="98"/>
      <c r="P684" s="99"/>
      <c r="Q684" s="100"/>
    </row>
    <row r="685" spans="10:17" ht="15.75" customHeight="1" x14ac:dyDescent="0.25">
      <c r="J685" s="96"/>
      <c r="N685" s="97"/>
      <c r="O685" s="98"/>
      <c r="P685" s="99"/>
      <c r="Q685" s="100"/>
    </row>
    <row r="686" spans="10:17" ht="15.75" customHeight="1" x14ac:dyDescent="0.25">
      <c r="J686" s="96"/>
      <c r="N686" s="97"/>
      <c r="O686" s="98"/>
      <c r="P686" s="99"/>
      <c r="Q686" s="100"/>
    </row>
    <row r="687" spans="10:17" ht="15.75" customHeight="1" x14ac:dyDescent="0.25">
      <c r="J687" s="96"/>
      <c r="N687" s="97"/>
      <c r="O687" s="98"/>
      <c r="P687" s="99"/>
      <c r="Q687" s="100"/>
    </row>
    <row r="688" spans="10:17" ht="15.75" customHeight="1" x14ac:dyDescent="0.25">
      <c r="J688" s="96"/>
      <c r="N688" s="97"/>
      <c r="O688" s="98"/>
      <c r="P688" s="99"/>
      <c r="Q688" s="100"/>
    </row>
    <row r="689" spans="10:17" ht="15.75" customHeight="1" x14ac:dyDescent="0.25">
      <c r="J689" s="96"/>
      <c r="N689" s="97"/>
      <c r="O689" s="98"/>
      <c r="P689" s="99"/>
      <c r="Q689" s="100"/>
    </row>
    <row r="690" spans="10:17" ht="15.75" customHeight="1" x14ac:dyDescent="0.25">
      <c r="J690" s="96"/>
      <c r="N690" s="97"/>
      <c r="O690" s="98"/>
      <c r="P690" s="99"/>
      <c r="Q690" s="100"/>
    </row>
    <row r="691" spans="10:17" ht="15.75" customHeight="1" x14ac:dyDescent="0.25">
      <c r="J691" s="96"/>
      <c r="N691" s="97"/>
      <c r="O691" s="98"/>
      <c r="P691" s="99"/>
      <c r="Q691" s="100"/>
    </row>
    <row r="692" spans="10:17" ht="15.75" customHeight="1" x14ac:dyDescent="0.25">
      <c r="J692" s="96"/>
      <c r="N692" s="97"/>
      <c r="O692" s="98"/>
      <c r="P692" s="99"/>
      <c r="Q692" s="100"/>
    </row>
    <row r="693" spans="10:17" ht="15.75" customHeight="1" x14ac:dyDescent="0.25">
      <c r="J693" s="96"/>
      <c r="N693" s="97"/>
      <c r="O693" s="98"/>
      <c r="P693" s="99"/>
      <c r="Q693" s="100"/>
    </row>
    <row r="694" spans="10:17" ht="15.75" customHeight="1" x14ac:dyDescent="0.25">
      <c r="J694" s="96"/>
      <c r="N694" s="97"/>
      <c r="O694" s="98"/>
      <c r="P694" s="99"/>
      <c r="Q694" s="100"/>
    </row>
    <row r="695" spans="10:17" ht="15.75" customHeight="1" x14ac:dyDescent="0.25">
      <c r="J695" s="96"/>
      <c r="N695" s="97"/>
      <c r="O695" s="98"/>
      <c r="P695" s="99"/>
      <c r="Q695" s="100"/>
    </row>
    <row r="696" spans="10:17" ht="15.75" customHeight="1" x14ac:dyDescent="0.25">
      <c r="J696" s="96"/>
      <c r="N696" s="97"/>
      <c r="O696" s="98"/>
      <c r="P696" s="99"/>
      <c r="Q696" s="100"/>
    </row>
    <row r="697" spans="10:17" ht="15.75" customHeight="1" x14ac:dyDescent="0.25">
      <c r="J697" s="96"/>
      <c r="N697" s="97"/>
      <c r="O697" s="98"/>
      <c r="P697" s="99"/>
      <c r="Q697" s="100"/>
    </row>
    <row r="698" spans="10:17" ht="15.75" customHeight="1" x14ac:dyDescent="0.25">
      <c r="J698" s="96"/>
      <c r="N698" s="97"/>
      <c r="O698" s="98"/>
      <c r="P698" s="99"/>
      <c r="Q698" s="100"/>
    </row>
    <row r="699" spans="10:17" ht="15.75" customHeight="1" x14ac:dyDescent="0.25">
      <c r="J699" s="96"/>
      <c r="N699" s="97"/>
      <c r="O699" s="98"/>
      <c r="P699" s="99"/>
      <c r="Q699" s="100"/>
    </row>
    <row r="700" spans="10:17" ht="15.75" customHeight="1" x14ac:dyDescent="0.25">
      <c r="J700" s="96"/>
      <c r="N700" s="97"/>
      <c r="O700" s="98"/>
      <c r="P700" s="99"/>
      <c r="Q700" s="100"/>
    </row>
    <row r="701" spans="10:17" ht="15.75" customHeight="1" x14ac:dyDescent="0.25">
      <c r="J701" s="96"/>
      <c r="N701" s="97"/>
      <c r="O701" s="98"/>
      <c r="P701" s="99"/>
      <c r="Q701" s="100"/>
    </row>
    <row r="702" spans="10:17" ht="15.75" customHeight="1" x14ac:dyDescent="0.25">
      <c r="J702" s="96"/>
      <c r="N702" s="97"/>
      <c r="O702" s="98"/>
      <c r="P702" s="99"/>
      <c r="Q702" s="100"/>
    </row>
    <row r="703" spans="10:17" ht="15.75" customHeight="1" x14ac:dyDescent="0.25">
      <c r="J703" s="96"/>
      <c r="N703" s="97"/>
      <c r="O703" s="98"/>
      <c r="P703" s="99"/>
      <c r="Q703" s="100"/>
    </row>
    <row r="704" spans="10:17" ht="15.75" customHeight="1" x14ac:dyDescent="0.25">
      <c r="J704" s="96"/>
      <c r="N704" s="97"/>
      <c r="O704" s="98"/>
      <c r="P704" s="99"/>
      <c r="Q704" s="100"/>
    </row>
    <row r="705" spans="10:17" ht="15.75" customHeight="1" x14ac:dyDescent="0.25">
      <c r="J705" s="96"/>
      <c r="N705" s="97"/>
      <c r="O705" s="98"/>
      <c r="P705" s="99"/>
      <c r="Q705" s="100"/>
    </row>
    <row r="706" spans="10:17" ht="15.75" customHeight="1" x14ac:dyDescent="0.25">
      <c r="J706" s="96"/>
      <c r="N706" s="97"/>
      <c r="O706" s="98"/>
      <c r="P706" s="99"/>
      <c r="Q706" s="100"/>
    </row>
    <row r="707" spans="10:17" ht="15.75" customHeight="1" x14ac:dyDescent="0.25">
      <c r="J707" s="96"/>
      <c r="N707" s="97"/>
      <c r="O707" s="98"/>
      <c r="P707" s="99"/>
      <c r="Q707" s="100"/>
    </row>
    <row r="708" spans="10:17" ht="15.75" customHeight="1" x14ac:dyDescent="0.25">
      <c r="J708" s="96"/>
      <c r="N708" s="97"/>
      <c r="O708" s="98"/>
      <c r="P708" s="99"/>
      <c r="Q708" s="100"/>
    </row>
    <row r="709" spans="10:17" ht="15.75" customHeight="1" x14ac:dyDescent="0.25">
      <c r="J709" s="96"/>
      <c r="N709" s="97"/>
      <c r="O709" s="98"/>
      <c r="P709" s="99"/>
      <c r="Q709" s="100"/>
    </row>
    <row r="710" spans="10:17" ht="15.75" customHeight="1" x14ac:dyDescent="0.25">
      <c r="J710" s="96"/>
      <c r="N710" s="97"/>
      <c r="O710" s="98"/>
      <c r="P710" s="99"/>
      <c r="Q710" s="100"/>
    </row>
    <row r="711" spans="10:17" ht="15.75" customHeight="1" x14ac:dyDescent="0.25">
      <c r="J711" s="96"/>
      <c r="N711" s="97"/>
      <c r="O711" s="98"/>
      <c r="P711" s="99"/>
      <c r="Q711" s="100"/>
    </row>
    <row r="712" spans="10:17" ht="15.75" customHeight="1" x14ac:dyDescent="0.25">
      <c r="J712" s="96"/>
      <c r="N712" s="97"/>
      <c r="O712" s="98"/>
      <c r="P712" s="99"/>
      <c r="Q712" s="100"/>
    </row>
    <row r="713" spans="10:17" ht="15.75" customHeight="1" x14ac:dyDescent="0.25">
      <c r="J713" s="96"/>
      <c r="N713" s="97"/>
      <c r="O713" s="98"/>
      <c r="P713" s="99"/>
      <c r="Q713" s="100"/>
    </row>
    <row r="714" spans="10:17" ht="15.75" customHeight="1" x14ac:dyDescent="0.25">
      <c r="J714" s="96"/>
      <c r="N714" s="97"/>
      <c r="O714" s="98"/>
      <c r="P714" s="99"/>
      <c r="Q714" s="100"/>
    </row>
    <row r="715" spans="10:17" ht="15.75" customHeight="1" x14ac:dyDescent="0.25">
      <c r="J715" s="96"/>
      <c r="N715" s="97"/>
      <c r="O715" s="98"/>
      <c r="P715" s="99"/>
      <c r="Q715" s="100"/>
    </row>
    <row r="716" spans="10:17" ht="15.75" customHeight="1" x14ac:dyDescent="0.25">
      <c r="J716" s="96"/>
      <c r="N716" s="97"/>
      <c r="O716" s="98"/>
      <c r="P716" s="99"/>
      <c r="Q716" s="100"/>
    </row>
    <row r="717" spans="10:17" ht="15.75" customHeight="1" x14ac:dyDescent="0.25">
      <c r="J717" s="96"/>
      <c r="N717" s="97"/>
      <c r="O717" s="98"/>
      <c r="P717" s="99"/>
      <c r="Q717" s="100"/>
    </row>
    <row r="718" spans="10:17" ht="15.75" customHeight="1" x14ac:dyDescent="0.25">
      <c r="J718" s="96"/>
      <c r="N718" s="97"/>
      <c r="O718" s="98"/>
      <c r="P718" s="99"/>
      <c r="Q718" s="100"/>
    </row>
    <row r="719" spans="10:17" ht="15.75" customHeight="1" x14ac:dyDescent="0.25">
      <c r="J719" s="96"/>
      <c r="N719" s="97"/>
      <c r="O719" s="98"/>
      <c r="P719" s="99"/>
      <c r="Q719" s="100"/>
    </row>
    <row r="720" spans="10:17" ht="15.75" customHeight="1" x14ac:dyDescent="0.25">
      <c r="J720" s="96"/>
      <c r="N720" s="97"/>
      <c r="O720" s="98"/>
      <c r="P720" s="99"/>
      <c r="Q720" s="100"/>
    </row>
    <row r="721" spans="10:17" ht="15.75" customHeight="1" x14ac:dyDescent="0.25">
      <c r="J721" s="96"/>
      <c r="N721" s="97"/>
      <c r="O721" s="98"/>
      <c r="P721" s="99"/>
      <c r="Q721" s="100"/>
    </row>
    <row r="722" spans="10:17" ht="15.75" customHeight="1" x14ac:dyDescent="0.25">
      <c r="J722" s="96"/>
      <c r="N722" s="97"/>
      <c r="O722" s="98"/>
      <c r="P722" s="99"/>
      <c r="Q722" s="100"/>
    </row>
    <row r="723" spans="10:17" ht="15.75" customHeight="1" x14ac:dyDescent="0.25">
      <c r="J723" s="96"/>
      <c r="N723" s="97"/>
      <c r="O723" s="98"/>
      <c r="P723" s="99"/>
      <c r="Q723" s="100"/>
    </row>
    <row r="724" spans="10:17" ht="15.75" customHeight="1" x14ac:dyDescent="0.25">
      <c r="J724" s="96"/>
      <c r="N724" s="97"/>
      <c r="O724" s="98"/>
      <c r="P724" s="99"/>
      <c r="Q724" s="100"/>
    </row>
    <row r="725" spans="10:17" ht="15.75" customHeight="1" x14ac:dyDescent="0.25">
      <c r="J725" s="96"/>
      <c r="N725" s="97"/>
      <c r="O725" s="98"/>
      <c r="P725" s="99"/>
      <c r="Q725" s="100"/>
    </row>
    <row r="726" spans="10:17" ht="15.75" customHeight="1" x14ac:dyDescent="0.25">
      <c r="J726" s="96"/>
      <c r="N726" s="97"/>
      <c r="O726" s="98"/>
      <c r="P726" s="99"/>
      <c r="Q726" s="100"/>
    </row>
    <row r="727" spans="10:17" ht="15.75" customHeight="1" x14ac:dyDescent="0.25">
      <c r="J727" s="96"/>
      <c r="N727" s="97"/>
      <c r="O727" s="98"/>
      <c r="P727" s="99"/>
      <c r="Q727" s="100"/>
    </row>
    <row r="728" spans="10:17" ht="15.75" customHeight="1" x14ac:dyDescent="0.25">
      <c r="J728" s="96"/>
      <c r="N728" s="97"/>
      <c r="O728" s="98"/>
      <c r="P728" s="99"/>
      <c r="Q728" s="100"/>
    </row>
    <row r="729" spans="10:17" ht="15.75" customHeight="1" x14ac:dyDescent="0.25">
      <c r="J729" s="96"/>
      <c r="N729" s="97"/>
      <c r="O729" s="98"/>
      <c r="P729" s="99"/>
      <c r="Q729" s="100"/>
    </row>
    <row r="730" spans="10:17" ht="15.75" customHeight="1" x14ac:dyDescent="0.25">
      <c r="J730" s="96"/>
      <c r="N730" s="97"/>
      <c r="O730" s="98"/>
      <c r="P730" s="99"/>
      <c r="Q730" s="100"/>
    </row>
    <row r="731" spans="10:17" ht="15.75" customHeight="1" x14ac:dyDescent="0.25">
      <c r="J731" s="96"/>
      <c r="N731" s="97"/>
      <c r="O731" s="98"/>
      <c r="P731" s="99"/>
      <c r="Q731" s="100"/>
    </row>
    <row r="732" spans="10:17" ht="15.75" customHeight="1" x14ac:dyDescent="0.25">
      <c r="J732" s="96"/>
      <c r="N732" s="97"/>
      <c r="O732" s="98"/>
      <c r="P732" s="99"/>
      <c r="Q732" s="100"/>
    </row>
    <row r="733" spans="10:17" ht="15.75" customHeight="1" x14ac:dyDescent="0.25">
      <c r="J733" s="96"/>
      <c r="N733" s="97"/>
      <c r="O733" s="98"/>
      <c r="P733" s="99"/>
      <c r="Q733" s="100"/>
    </row>
    <row r="734" spans="10:17" ht="15.75" customHeight="1" x14ac:dyDescent="0.25">
      <c r="J734" s="96"/>
      <c r="N734" s="97"/>
      <c r="O734" s="98"/>
      <c r="P734" s="99"/>
      <c r="Q734" s="100"/>
    </row>
    <row r="735" spans="10:17" ht="15.75" customHeight="1" x14ac:dyDescent="0.25">
      <c r="J735" s="96"/>
      <c r="N735" s="97"/>
      <c r="O735" s="98"/>
      <c r="P735" s="99"/>
      <c r="Q735" s="100"/>
    </row>
    <row r="736" spans="10:17" ht="15.75" customHeight="1" x14ac:dyDescent="0.25">
      <c r="J736" s="96"/>
      <c r="N736" s="97"/>
      <c r="O736" s="98"/>
      <c r="P736" s="99"/>
      <c r="Q736" s="100"/>
    </row>
    <row r="737" spans="10:17" ht="15.75" customHeight="1" x14ac:dyDescent="0.25">
      <c r="J737" s="96"/>
      <c r="N737" s="97"/>
      <c r="O737" s="98"/>
      <c r="P737" s="99"/>
      <c r="Q737" s="100"/>
    </row>
    <row r="738" spans="10:17" ht="15.75" customHeight="1" x14ac:dyDescent="0.25">
      <c r="J738" s="96"/>
      <c r="N738" s="97"/>
      <c r="O738" s="98"/>
      <c r="P738" s="99"/>
      <c r="Q738" s="100"/>
    </row>
    <row r="739" spans="10:17" ht="15.75" customHeight="1" x14ac:dyDescent="0.25">
      <c r="J739" s="96"/>
      <c r="N739" s="97"/>
      <c r="O739" s="98"/>
      <c r="P739" s="99"/>
      <c r="Q739" s="100"/>
    </row>
    <row r="740" spans="10:17" ht="15.75" customHeight="1" x14ac:dyDescent="0.25">
      <c r="J740" s="96"/>
      <c r="N740" s="97"/>
      <c r="O740" s="98"/>
      <c r="P740" s="99"/>
      <c r="Q740" s="100"/>
    </row>
    <row r="741" spans="10:17" ht="15.75" customHeight="1" x14ac:dyDescent="0.25">
      <c r="J741" s="96"/>
      <c r="N741" s="97"/>
      <c r="O741" s="98"/>
      <c r="P741" s="99"/>
      <c r="Q741" s="100"/>
    </row>
    <row r="742" spans="10:17" ht="15.75" customHeight="1" x14ac:dyDescent="0.25">
      <c r="J742" s="96"/>
      <c r="N742" s="97"/>
      <c r="O742" s="98"/>
      <c r="P742" s="99"/>
      <c r="Q742" s="100"/>
    </row>
    <row r="743" spans="10:17" ht="15.75" customHeight="1" x14ac:dyDescent="0.25">
      <c r="J743" s="96"/>
      <c r="N743" s="97"/>
      <c r="O743" s="98"/>
      <c r="P743" s="99"/>
      <c r="Q743" s="100"/>
    </row>
    <row r="744" spans="10:17" ht="15.75" customHeight="1" x14ac:dyDescent="0.25">
      <c r="J744" s="96"/>
      <c r="N744" s="97"/>
      <c r="O744" s="98"/>
      <c r="P744" s="99"/>
      <c r="Q744" s="100"/>
    </row>
    <row r="745" spans="10:17" ht="15.75" customHeight="1" x14ac:dyDescent="0.25">
      <c r="J745" s="96"/>
      <c r="N745" s="97"/>
      <c r="O745" s="98"/>
      <c r="P745" s="99"/>
      <c r="Q745" s="100"/>
    </row>
    <row r="746" spans="10:17" ht="15.75" customHeight="1" x14ac:dyDescent="0.25">
      <c r="J746" s="96"/>
      <c r="N746" s="97"/>
      <c r="O746" s="98"/>
      <c r="P746" s="99"/>
      <c r="Q746" s="100"/>
    </row>
    <row r="747" spans="10:17" ht="15.75" customHeight="1" x14ac:dyDescent="0.25">
      <c r="J747" s="96"/>
      <c r="N747" s="97"/>
      <c r="O747" s="98"/>
      <c r="P747" s="99"/>
      <c r="Q747" s="100"/>
    </row>
    <row r="748" spans="10:17" ht="15.75" customHeight="1" x14ac:dyDescent="0.25">
      <c r="J748" s="96"/>
      <c r="N748" s="97"/>
      <c r="O748" s="98"/>
      <c r="P748" s="99"/>
      <c r="Q748" s="100"/>
    </row>
    <row r="749" spans="10:17" ht="15.75" customHeight="1" x14ac:dyDescent="0.25">
      <c r="J749" s="96"/>
      <c r="N749" s="97"/>
      <c r="O749" s="98"/>
      <c r="P749" s="99"/>
      <c r="Q749" s="100"/>
    </row>
    <row r="750" spans="10:17" ht="15.75" customHeight="1" x14ac:dyDescent="0.25">
      <c r="J750" s="96"/>
      <c r="N750" s="97"/>
      <c r="O750" s="98"/>
      <c r="P750" s="99"/>
      <c r="Q750" s="100"/>
    </row>
    <row r="751" spans="10:17" ht="15.75" customHeight="1" x14ac:dyDescent="0.25">
      <c r="J751" s="96"/>
      <c r="N751" s="97"/>
      <c r="O751" s="98"/>
      <c r="P751" s="99"/>
      <c r="Q751" s="100"/>
    </row>
    <row r="752" spans="10:17" ht="15.75" customHeight="1" x14ac:dyDescent="0.25">
      <c r="J752" s="96"/>
      <c r="N752" s="97"/>
      <c r="O752" s="98"/>
      <c r="P752" s="99"/>
      <c r="Q752" s="100"/>
    </row>
    <row r="753" spans="10:17" ht="15.75" customHeight="1" x14ac:dyDescent="0.25">
      <c r="J753" s="96"/>
      <c r="N753" s="97"/>
      <c r="O753" s="98"/>
      <c r="P753" s="99"/>
      <c r="Q753" s="100"/>
    </row>
    <row r="754" spans="10:17" ht="15.75" customHeight="1" x14ac:dyDescent="0.25">
      <c r="J754" s="96"/>
      <c r="N754" s="97"/>
      <c r="O754" s="98"/>
      <c r="P754" s="99"/>
      <c r="Q754" s="100"/>
    </row>
    <row r="755" spans="10:17" ht="15.75" customHeight="1" x14ac:dyDescent="0.25">
      <c r="J755" s="96"/>
      <c r="N755" s="97"/>
      <c r="O755" s="98"/>
      <c r="P755" s="99"/>
      <c r="Q755" s="100"/>
    </row>
    <row r="756" spans="10:17" ht="15.75" customHeight="1" x14ac:dyDescent="0.25">
      <c r="J756" s="96"/>
      <c r="N756" s="97"/>
      <c r="O756" s="98"/>
      <c r="P756" s="99"/>
      <c r="Q756" s="100"/>
    </row>
    <row r="757" spans="10:17" ht="15.75" customHeight="1" x14ac:dyDescent="0.25">
      <c r="J757" s="96"/>
      <c r="N757" s="97"/>
      <c r="O757" s="98"/>
      <c r="P757" s="99"/>
      <c r="Q757" s="100"/>
    </row>
    <row r="758" spans="10:17" ht="15.75" customHeight="1" x14ac:dyDescent="0.25">
      <c r="J758" s="96"/>
      <c r="N758" s="97"/>
      <c r="O758" s="98"/>
      <c r="P758" s="99"/>
      <c r="Q758" s="100"/>
    </row>
    <row r="759" spans="10:17" ht="15.75" customHeight="1" x14ac:dyDescent="0.25">
      <c r="J759" s="96"/>
      <c r="N759" s="97"/>
      <c r="O759" s="98"/>
      <c r="P759" s="99"/>
      <c r="Q759" s="100"/>
    </row>
    <row r="760" spans="10:17" ht="15.75" customHeight="1" x14ac:dyDescent="0.25">
      <c r="J760" s="96"/>
      <c r="N760" s="97"/>
      <c r="O760" s="98"/>
      <c r="P760" s="99"/>
      <c r="Q760" s="100"/>
    </row>
    <row r="761" spans="10:17" ht="15.75" customHeight="1" x14ac:dyDescent="0.25">
      <c r="J761" s="96"/>
      <c r="N761" s="97"/>
      <c r="O761" s="98"/>
      <c r="P761" s="99"/>
      <c r="Q761" s="100"/>
    </row>
    <row r="762" spans="10:17" ht="15.75" customHeight="1" x14ac:dyDescent="0.25">
      <c r="J762" s="96"/>
      <c r="N762" s="97"/>
      <c r="O762" s="98"/>
      <c r="P762" s="99"/>
      <c r="Q762" s="100"/>
    </row>
    <row r="763" spans="10:17" ht="15.75" customHeight="1" x14ac:dyDescent="0.25">
      <c r="J763" s="96"/>
      <c r="N763" s="97"/>
      <c r="O763" s="98"/>
      <c r="P763" s="99"/>
      <c r="Q763" s="100"/>
    </row>
    <row r="764" spans="10:17" ht="15.75" customHeight="1" x14ac:dyDescent="0.25">
      <c r="J764" s="96"/>
      <c r="N764" s="97"/>
      <c r="O764" s="98"/>
      <c r="P764" s="99"/>
      <c r="Q764" s="100"/>
    </row>
    <row r="765" spans="10:17" ht="15.75" customHeight="1" x14ac:dyDescent="0.25">
      <c r="J765" s="96"/>
      <c r="N765" s="97"/>
      <c r="O765" s="98"/>
      <c r="P765" s="99"/>
      <c r="Q765" s="100"/>
    </row>
    <row r="766" spans="10:17" ht="15.75" customHeight="1" x14ac:dyDescent="0.25">
      <c r="J766" s="96"/>
      <c r="N766" s="97"/>
      <c r="O766" s="98"/>
      <c r="P766" s="99"/>
      <c r="Q766" s="100"/>
    </row>
    <row r="767" spans="10:17" ht="15.75" customHeight="1" x14ac:dyDescent="0.25">
      <c r="J767" s="96"/>
      <c r="N767" s="97"/>
      <c r="O767" s="98"/>
      <c r="P767" s="99"/>
      <c r="Q767" s="100"/>
    </row>
    <row r="768" spans="10:17" ht="15.75" customHeight="1" x14ac:dyDescent="0.25">
      <c r="J768" s="96"/>
      <c r="N768" s="97"/>
      <c r="O768" s="98"/>
      <c r="P768" s="99"/>
      <c r="Q768" s="100"/>
    </row>
    <row r="769" spans="10:17" ht="15.75" customHeight="1" x14ac:dyDescent="0.25">
      <c r="J769" s="96"/>
      <c r="N769" s="97"/>
      <c r="O769" s="98"/>
      <c r="P769" s="99"/>
      <c r="Q769" s="100"/>
    </row>
    <row r="770" spans="10:17" ht="15.75" customHeight="1" x14ac:dyDescent="0.25">
      <c r="J770" s="96"/>
      <c r="N770" s="97"/>
      <c r="O770" s="98"/>
      <c r="P770" s="99"/>
      <c r="Q770" s="100"/>
    </row>
    <row r="771" spans="10:17" ht="15.75" customHeight="1" x14ac:dyDescent="0.25">
      <c r="J771" s="96"/>
      <c r="N771" s="97"/>
      <c r="O771" s="98"/>
      <c r="P771" s="99"/>
      <c r="Q771" s="100"/>
    </row>
    <row r="772" spans="10:17" ht="15.75" customHeight="1" x14ac:dyDescent="0.25">
      <c r="J772" s="96"/>
      <c r="N772" s="97"/>
      <c r="O772" s="98"/>
      <c r="P772" s="99"/>
      <c r="Q772" s="100"/>
    </row>
    <row r="773" spans="10:17" ht="15.75" customHeight="1" x14ac:dyDescent="0.25">
      <c r="J773" s="96"/>
      <c r="N773" s="97"/>
      <c r="O773" s="98"/>
      <c r="P773" s="99"/>
      <c r="Q773" s="100"/>
    </row>
    <row r="774" spans="10:17" ht="15.75" customHeight="1" x14ac:dyDescent="0.25">
      <c r="J774" s="96"/>
      <c r="N774" s="97"/>
      <c r="O774" s="98"/>
      <c r="P774" s="99"/>
      <c r="Q774" s="100"/>
    </row>
    <row r="775" spans="10:17" ht="15.75" customHeight="1" x14ac:dyDescent="0.25">
      <c r="J775" s="96"/>
      <c r="N775" s="97"/>
      <c r="O775" s="98"/>
      <c r="P775" s="99"/>
      <c r="Q775" s="100"/>
    </row>
    <row r="776" spans="10:17" ht="15.75" customHeight="1" x14ac:dyDescent="0.25">
      <c r="J776" s="96"/>
      <c r="N776" s="97"/>
      <c r="O776" s="98"/>
      <c r="P776" s="99"/>
      <c r="Q776" s="100"/>
    </row>
    <row r="777" spans="10:17" ht="15.75" customHeight="1" x14ac:dyDescent="0.25">
      <c r="J777" s="96"/>
      <c r="N777" s="97"/>
      <c r="O777" s="98"/>
      <c r="P777" s="99"/>
      <c r="Q777" s="100"/>
    </row>
    <row r="778" spans="10:17" ht="15.75" customHeight="1" x14ac:dyDescent="0.25">
      <c r="J778" s="96"/>
      <c r="N778" s="97"/>
      <c r="O778" s="98"/>
      <c r="P778" s="99"/>
      <c r="Q778" s="100"/>
    </row>
    <row r="779" spans="10:17" ht="15.75" customHeight="1" x14ac:dyDescent="0.25">
      <c r="J779" s="96"/>
      <c r="N779" s="97"/>
      <c r="O779" s="98"/>
      <c r="P779" s="99"/>
      <c r="Q779" s="100"/>
    </row>
    <row r="780" spans="10:17" ht="15.75" customHeight="1" x14ac:dyDescent="0.25">
      <c r="J780" s="96"/>
      <c r="N780" s="97"/>
      <c r="O780" s="98"/>
      <c r="P780" s="99"/>
      <c r="Q780" s="100"/>
    </row>
    <row r="781" spans="10:17" ht="15.75" customHeight="1" x14ac:dyDescent="0.25">
      <c r="J781" s="96"/>
      <c r="N781" s="97"/>
      <c r="O781" s="98"/>
      <c r="P781" s="99"/>
      <c r="Q781" s="100"/>
    </row>
    <row r="782" spans="10:17" ht="15.75" customHeight="1" x14ac:dyDescent="0.25">
      <c r="J782" s="96"/>
      <c r="N782" s="97"/>
      <c r="O782" s="98"/>
      <c r="P782" s="99"/>
      <c r="Q782" s="100"/>
    </row>
    <row r="783" spans="10:17" ht="15.75" customHeight="1" x14ac:dyDescent="0.25">
      <c r="J783" s="96"/>
      <c r="N783" s="97"/>
      <c r="O783" s="98"/>
      <c r="P783" s="99"/>
      <c r="Q783" s="100"/>
    </row>
    <row r="784" spans="10:17" ht="15.75" customHeight="1" x14ac:dyDescent="0.25">
      <c r="J784" s="96"/>
      <c r="N784" s="97"/>
      <c r="O784" s="98"/>
      <c r="P784" s="99"/>
      <c r="Q784" s="100"/>
    </row>
    <row r="785" spans="10:17" ht="15.75" customHeight="1" x14ac:dyDescent="0.25">
      <c r="J785" s="96"/>
      <c r="N785" s="97"/>
      <c r="O785" s="98"/>
      <c r="P785" s="99"/>
      <c r="Q785" s="100"/>
    </row>
    <row r="786" spans="10:17" ht="15.75" customHeight="1" x14ac:dyDescent="0.25">
      <c r="J786" s="96"/>
      <c r="N786" s="97"/>
      <c r="O786" s="98"/>
      <c r="P786" s="99"/>
      <c r="Q786" s="100"/>
    </row>
    <row r="787" spans="10:17" ht="15.75" customHeight="1" x14ac:dyDescent="0.25">
      <c r="J787" s="96"/>
      <c r="N787" s="97"/>
      <c r="O787" s="98"/>
      <c r="P787" s="99"/>
      <c r="Q787" s="100"/>
    </row>
    <row r="788" spans="10:17" ht="15.75" customHeight="1" x14ac:dyDescent="0.25">
      <c r="J788" s="96"/>
      <c r="N788" s="97"/>
      <c r="O788" s="98"/>
      <c r="P788" s="99"/>
      <c r="Q788" s="100"/>
    </row>
    <row r="789" spans="10:17" ht="15.75" customHeight="1" x14ac:dyDescent="0.25">
      <c r="J789" s="96"/>
      <c r="N789" s="97"/>
      <c r="O789" s="98"/>
      <c r="P789" s="99"/>
      <c r="Q789" s="100"/>
    </row>
    <row r="790" spans="10:17" ht="15.75" customHeight="1" x14ac:dyDescent="0.25">
      <c r="J790" s="96"/>
      <c r="N790" s="97"/>
      <c r="O790" s="98"/>
      <c r="P790" s="99"/>
      <c r="Q790" s="100"/>
    </row>
    <row r="791" spans="10:17" ht="15.75" customHeight="1" x14ac:dyDescent="0.25">
      <c r="J791" s="96"/>
      <c r="N791" s="97"/>
      <c r="O791" s="98"/>
      <c r="P791" s="99"/>
      <c r="Q791" s="100"/>
    </row>
    <row r="792" spans="10:17" ht="15.75" customHeight="1" x14ac:dyDescent="0.25">
      <c r="J792" s="96"/>
      <c r="N792" s="97"/>
      <c r="O792" s="98"/>
      <c r="P792" s="99"/>
      <c r="Q792" s="100"/>
    </row>
    <row r="793" spans="10:17" ht="15.75" customHeight="1" x14ac:dyDescent="0.25">
      <c r="J793" s="96"/>
      <c r="N793" s="97"/>
      <c r="O793" s="98"/>
      <c r="P793" s="99"/>
      <c r="Q793" s="100"/>
    </row>
    <row r="794" spans="10:17" ht="15.75" customHeight="1" x14ac:dyDescent="0.25">
      <c r="J794" s="96"/>
      <c r="N794" s="97"/>
      <c r="O794" s="98"/>
      <c r="P794" s="99"/>
      <c r="Q794" s="100"/>
    </row>
    <row r="795" spans="10:17" ht="15.75" customHeight="1" x14ac:dyDescent="0.25">
      <c r="J795" s="96"/>
      <c r="N795" s="97"/>
      <c r="O795" s="98"/>
      <c r="P795" s="99"/>
      <c r="Q795" s="100"/>
    </row>
    <row r="796" spans="10:17" ht="15.75" customHeight="1" x14ac:dyDescent="0.25">
      <c r="J796" s="96"/>
      <c r="N796" s="97"/>
      <c r="O796" s="98"/>
      <c r="P796" s="99"/>
      <c r="Q796" s="100"/>
    </row>
    <row r="797" spans="10:17" ht="15.75" customHeight="1" x14ac:dyDescent="0.25">
      <c r="J797" s="96"/>
      <c r="N797" s="97"/>
      <c r="O797" s="98"/>
      <c r="P797" s="99"/>
      <c r="Q797" s="100"/>
    </row>
    <row r="798" spans="10:17" ht="15.75" customHeight="1" x14ac:dyDescent="0.25">
      <c r="J798" s="96"/>
      <c r="N798" s="97"/>
      <c r="O798" s="98"/>
      <c r="P798" s="99"/>
      <c r="Q798" s="100"/>
    </row>
    <row r="799" spans="10:17" ht="15.75" customHeight="1" x14ac:dyDescent="0.25">
      <c r="J799" s="96"/>
      <c r="N799" s="97"/>
      <c r="O799" s="98"/>
      <c r="P799" s="99"/>
      <c r="Q799" s="100"/>
    </row>
    <row r="800" spans="10:17" ht="15.75" customHeight="1" x14ac:dyDescent="0.25">
      <c r="J800" s="96"/>
      <c r="N800" s="97"/>
      <c r="O800" s="98"/>
      <c r="P800" s="99"/>
      <c r="Q800" s="100"/>
    </row>
    <row r="801" spans="10:17" ht="15.75" customHeight="1" x14ac:dyDescent="0.25">
      <c r="J801" s="96"/>
      <c r="N801" s="97"/>
      <c r="O801" s="98"/>
      <c r="P801" s="99"/>
      <c r="Q801" s="100"/>
    </row>
    <row r="802" spans="10:17" ht="15.75" customHeight="1" x14ac:dyDescent="0.25">
      <c r="J802" s="96"/>
      <c r="N802" s="97"/>
      <c r="O802" s="98"/>
      <c r="P802" s="99"/>
      <c r="Q802" s="100"/>
    </row>
    <row r="803" spans="10:17" ht="15.75" customHeight="1" x14ac:dyDescent="0.25">
      <c r="J803" s="96"/>
      <c r="N803" s="97"/>
      <c r="O803" s="98"/>
      <c r="P803" s="99"/>
      <c r="Q803" s="100"/>
    </row>
    <row r="804" spans="10:17" ht="15.75" customHeight="1" x14ac:dyDescent="0.25">
      <c r="J804" s="96"/>
      <c r="N804" s="97"/>
      <c r="O804" s="98"/>
      <c r="P804" s="99"/>
      <c r="Q804" s="100"/>
    </row>
    <row r="805" spans="10:17" ht="15.75" customHeight="1" x14ac:dyDescent="0.25">
      <c r="J805" s="96"/>
      <c r="N805" s="97"/>
      <c r="O805" s="98"/>
      <c r="P805" s="99"/>
      <c r="Q805" s="100"/>
    </row>
    <row r="806" spans="10:17" ht="15.75" customHeight="1" x14ac:dyDescent="0.25">
      <c r="J806" s="96"/>
      <c r="N806" s="97"/>
      <c r="O806" s="98"/>
      <c r="P806" s="99"/>
      <c r="Q806" s="100"/>
    </row>
    <row r="807" spans="10:17" ht="15.75" customHeight="1" x14ac:dyDescent="0.25">
      <c r="J807" s="96"/>
      <c r="N807" s="97"/>
      <c r="O807" s="98"/>
      <c r="P807" s="99"/>
      <c r="Q807" s="100"/>
    </row>
    <row r="808" spans="10:17" ht="15.75" customHeight="1" x14ac:dyDescent="0.25">
      <c r="J808" s="96"/>
      <c r="N808" s="97"/>
      <c r="O808" s="98"/>
      <c r="P808" s="99"/>
      <c r="Q808" s="100"/>
    </row>
    <row r="809" spans="10:17" ht="15.75" customHeight="1" x14ac:dyDescent="0.25">
      <c r="J809" s="96"/>
      <c r="N809" s="97"/>
      <c r="O809" s="98"/>
      <c r="P809" s="99"/>
      <c r="Q809" s="100"/>
    </row>
    <row r="810" spans="10:17" ht="15.75" customHeight="1" x14ac:dyDescent="0.25">
      <c r="J810" s="96"/>
      <c r="N810" s="97"/>
      <c r="O810" s="98"/>
      <c r="P810" s="99"/>
      <c r="Q810" s="100"/>
    </row>
    <row r="811" spans="10:17" ht="15.75" customHeight="1" x14ac:dyDescent="0.25">
      <c r="J811" s="96"/>
      <c r="N811" s="97"/>
      <c r="O811" s="98"/>
      <c r="P811" s="99"/>
      <c r="Q811" s="100"/>
    </row>
    <row r="812" spans="10:17" ht="15.75" customHeight="1" x14ac:dyDescent="0.25">
      <c r="J812" s="96"/>
      <c r="N812" s="97"/>
      <c r="O812" s="98"/>
      <c r="P812" s="99"/>
      <c r="Q812" s="100"/>
    </row>
    <row r="813" spans="10:17" ht="15.75" customHeight="1" x14ac:dyDescent="0.25">
      <c r="J813" s="96"/>
      <c r="N813" s="97"/>
      <c r="O813" s="98"/>
      <c r="P813" s="99"/>
      <c r="Q813" s="100"/>
    </row>
    <row r="814" spans="10:17" ht="15.75" customHeight="1" x14ac:dyDescent="0.25">
      <c r="J814" s="96"/>
      <c r="N814" s="97"/>
      <c r="O814" s="98"/>
      <c r="P814" s="99"/>
      <c r="Q814" s="100"/>
    </row>
    <row r="815" spans="10:17" ht="15.75" customHeight="1" x14ac:dyDescent="0.25">
      <c r="J815" s="96"/>
      <c r="N815" s="97"/>
      <c r="O815" s="98"/>
      <c r="P815" s="99"/>
      <c r="Q815" s="100"/>
    </row>
    <row r="816" spans="10:17" ht="15.75" customHeight="1" x14ac:dyDescent="0.25">
      <c r="J816" s="96"/>
      <c r="N816" s="97"/>
      <c r="O816" s="98"/>
      <c r="P816" s="99"/>
      <c r="Q816" s="100"/>
    </row>
    <row r="817" spans="10:17" ht="15.75" customHeight="1" x14ac:dyDescent="0.25">
      <c r="J817" s="96"/>
      <c r="N817" s="97"/>
      <c r="O817" s="98"/>
      <c r="P817" s="99"/>
      <c r="Q817" s="100"/>
    </row>
    <row r="818" spans="10:17" ht="15.75" customHeight="1" x14ac:dyDescent="0.25">
      <c r="J818" s="96"/>
      <c r="N818" s="97"/>
      <c r="O818" s="98"/>
      <c r="P818" s="99"/>
      <c r="Q818" s="100"/>
    </row>
    <row r="819" spans="10:17" ht="15.75" customHeight="1" x14ac:dyDescent="0.25">
      <c r="J819" s="96"/>
      <c r="N819" s="97"/>
      <c r="O819" s="98"/>
      <c r="P819" s="99"/>
      <c r="Q819" s="100"/>
    </row>
    <row r="820" spans="10:17" ht="15.75" customHeight="1" x14ac:dyDescent="0.25">
      <c r="J820" s="96"/>
      <c r="N820" s="97"/>
      <c r="O820" s="98"/>
      <c r="P820" s="99"/>
      <c r="Q820" s="100"/>
    </row>
    <row r="821" spans="10:17" ht="15.75" customHeight="1" x14ac:dyDescent="0.25">
      <c r="J821" s="96"/>
      <c r="N821" s="97"/>
      <c r="O821" s="98"/>
      <c r="P821" s="99"/>
      <c r="Q821" s="100"/>
    </row>
    <row r="822" spans="10:17" ht="15.75" customHeight="1" x14ac:dyDescent="0.25">
      <c r="J822" s="96"/>
      <c r="N822" s="97"/>
      <c r="O822" s="98"/>
      <c r="P822" s="99"/>
      <c r="Q822" s="100"/>
    </row>
    <row r="823" spans="10:17" ht="15.75" customHeight="1" x14ac:dyDescent="0.25">
      <c r="J823" s="96"/>
      <c r="N823" s="97"/>
      <c r="O823" s="98"/>
      <c r="P823" s="99"/>
      <c r="Q823" s="100"/>
    </row>
    <row r="824" spans="10:17" ht="15.75" customHeight="1" x14ac:dyDescent="0.25">
      <c r="J824" s="96"/>
      <c r="N824" s="97"/>
      <c r="O824" s="98"/>
      <c r="P824" s="99"/>
      <c r="Q824" s="100"/>
    </row>
    <row r="825" spans="10:17" ht="15.75" customHeight="1" x14ac:dyDescent="0.25">
      <c r="J825" s="96"/>
      <c r="N825" s="97"/>
      <c r="O825" s="98"/>
      <c r="P825" s="99"/>
      <c r="Q825" s="100"/>
    </row>
    <row r="826" spans="10:17" ht="15.75" customHeight="1" x14ac:dyDescent="0.25">
      <c r="J826" s="96"/>
      <c r="N826" s="97"/>
      <c r="O826" s="98"/>
      <c r="P826" s="99"/>
      <c r="Q826" s="100"/>
    </row>
    <row r="827" spans="10:17" ht="15.75" customHeight="1" x14ac:dyDescent="0.25">
      <c r="J827" s="96"/>
      <c r="N827" s="97"/>
      <c r="O827" s="98"/>
      <c r="P827" s="99"/>
      <c r="Q827" s="100"/>
    </row>
    <row r="828" spans="10:17" ht="15.75" customHeight="1" x14ac:dyDescent="0.25">
      <c r="J828" s="96"/>
      <c r="N828" s="97"/>
      <c r="O828" s="98"/>
      <c r="P828" s="99"/>
      <c r="Q828" s="100"/>
    </row>
    <row r="829" spans="10:17" ht="15.75" customHeight="1" x14ac:dyDescent="0.25">
      <c r="J829" s="96"/>
      <c r="N829" s="97"/>
      <c r="O829" s="98"/>
      <c r="P829" s="99"/>
      <c r="Q829" s="100"/>
    </row>
    <row r="830" spans="10:17" ht="15.75" customHeight="1" x14ac:dyDescent="0.25">
      <c r="J830" s="96"/>
      <c r="N830" s="97"/>
      <c r="O830" s="98"/>
      <c r="P830" s="99"/>
      <c r="Q830" s="100"/>
    </row>
    <row r="831" spans="10:17" ht="15.75" customHeight="1" x14ac:dyDescent="0.25">
      <c r="J831" s="96"/>
      <c r="N831" s="97"/>
      <c r="O831" s="98"/>
      <c r="P831" s="99"/>
      <c r="Q831" s="100"/>
    </row>
    <row r="832" spans="10:17" ht="15.75" customHeight="1" x14ac:dyDescent="0.25">
      <c r="J832" s="96"/>
      <c r="N832" s="97"/>
      <c r="O832" s="98"/>
      <c r="P832" s="99"/>
      <c r="Q832" s="100"/>
    </row>
    <row r="833" spans="10:17" ht="15.75" customHeight="1" x14ac:dyDescent="0.25">
      <c r="J833" s="96"/>
      <c r="N833" s="97"/>
      <c r="O833" s="98"/>
      <c r="P833" s="99"/>
      <c r="Q833" s="100"/>
    </row>
    <row r="834" spans="10:17" ht="15.75" customHeight="1" x14ac:dyDescent="0.25">
      <c r="J834" s="96"/>
      <c r="N834" s="97"/>
      <c r="O834" s="98"/>
      <c r="P834" s="99"/>
      <c r="Q834" s="100"/>
    </row>
    <row r="835" spans="10:17" ht="15.75" customHeight="1" x14ac:dyDescent="0.25">
      <c r="J835" s="96"/>
      <c r="N835" s="97"/>
      <c r="O835" s="98"/>
      <c r="P835" s="99"/>
      <c r="Q835" s="100"/>
    </row>
    <row r="836" spans="10:17" ht="15.75" customHeight="1" x14ac:dyDescent="0.25">
      <c r="J836" s="96"/>
      <c r="N836" s="97"/>
      <c r="O836" s="98"/>
      <c r="P836" s="99"/>
      <c r="Q836" s="100"/>
    </row>
    <row r="837" spans="10:17" ht="15.75" customHeight="1" x14ac:dyDescent="0.25">
      <c r="J837" s="96"/>
      <c r="N837" s="97"/>
      <c r="O837" s="98"/>
      <c r="P837" s="99"/>
      <c r="Q837" s="100"/>
    </row>
    <row r="838" spans="10:17" ht="15.75" customHeight="1" x14ac:dyDescent="0.25">
      <c r="J838" s="96"/>
      <c r="N838" s="97"/>
      <c r="O838" s="98"/>
      <c r="P838" s="99"/>
      <c r="Q838" s="100"/>
    </row>
    <row r="839" spans="10:17" ht="15.75" customHeight="1" x14ac:dyDescent="0.25">
      <c r="J839" s="96"/>
      <c r="N839" s="97"/>
      <c r="O839" s="98"/>
      <c r="P839" s="99"/>
      <c r="Q839" s="100"/>
    </row>
    <row r="840" spans="10:17" ht="15.75" customHeight="1" x14ac:dyDescent="0.25">
      <c r="J840" s="96"/>
      <c r="N840" s="97"/>
      <c r="O840" s="98"/>
      <c r="P840" s="99"/>
      <c r="Q840" s="100"/>
    </row>
    <row r="841" spans="10:17" ht="15.75" customHeight="1" x14ac:dyDescent="0.25">
      <c r="J841" s="96"/>
      <c r="N841" s="97"/>
      <c r="O841" s="98"/>
      <c r="P841" s="99"/>
      <c r="Q841" s="100"/>
    </row>
    <row r="842" spans="10:17" ht="15.75" customHeight="1" x14ac:dyDescent="0.25">
      <c r="J842" s="96"/>
      <c r="N842" s="97"/>
      <c r="O842" s="98"/>
      <c r="P842" s="99"/>
      <c r="Q842" s="100"/>
    </row>
    <row r="843" spans="10:17" ht="15.75" customHeight="1" x14ac:dyDescent="0.25">
      <c r="J843" s="96"/>
      <c r="N843" s="97"/>
      <c r="O843" s="98"/>
      <c r="P843" s="99"/>
      <c r="Q843" s="100"/>
    </row>
    <row r="844" spans="10:17" ht="15.75" customHeight="1" x14ac:dyDescent="0.25">
      <c r="J844" s="96"/>
      <c r="N844" s="97"/>
      <c r="O844" s="98"/>
      <c r="P844" s="99"/>
      <c r="Q844" s="100"/>
    </row>
    <row r="845" spans="10:17" ht="15.75" customHeight="1" x14ac:dyDescent="0.25">
      <c r="J845" s="96"/>
      <c r="N845" s="97"/>
      <c r="O845" s="98"/>
      <c r="P845" s="99"/>
      <c r="Q845" s="100"/>
    </row>
    <row r="846" spans="10:17" ht="15.75" customHeight="1" x14ac:dyDescent="0.25">
      <c r="J846" s="96"/>
      <c r="N846" s="97"/>
      <c r="O846" s="98"/>
      <c r="P846" s="99"/>
      <c r="Q846" s="100"/>
    </row>
    <row r="847" spans="10:17" ht="15.75" customHeight="1" x14ac:dyDescent="0.25">
      <c r="J847" s="96"/>
      <c r="N847" s="97"/>
      <c r="O847" s="98"/>
      <c r="P847" s="99"/>
      <c r="Q847" s="100"/>
    </row>
    <row r="848" spans="10:17" ht="15.75" customHeight="1" x14ac:dyDescent="0.25">
      <c r="J848" s="96"/>
      <c r="N848" s="97"/>
      <c r="O848" s="98"/>
      <c r="P848" s="99"/>
      <c r="Q848" s="100"/>
    </row>
    <row r="849" spans="10:17" ht="15.75" customHeight="1" x14ac:dyDescent="0.25">
      <c r="J849" s="96"/>
      <c r="N849" s="97"/>
      <c r="O849" s="98"/>
      <c r="P849" s="99"/>
      <c r="Q849" s="100"/>
    </row>
    <row r="850" spans="10:17" ht="15.75" customHeight="1" x14ac:dyDescent="0.25">
      <c r="J850" s="96"/>
      <c r="N850" s="97"/>
      <c r="O850" s="98"/>
      <c r="P850" s="99"/>
      <c r="Q850" s="100"/>
    </row>
    <row r="851" spans="10:17" ht="15.75" customHeight="1" x14ac:dyDescent="0.25">
      <c r="J851" s="96"/>
      <c r="N851" s="97"/>
      <c r="O851" s="98"/>
      <c r="P851" s="99"/>
      <c r="Q851" s="100"/>
    </row>
    <row r="852" spans="10:17" ht="15.75" customHeight="1" x14ac:dyDescent="0.25">
      <c r="J852" s="96"/>
      <c r="N852" s="97"/>
      <c r="O852" s="98"/>
      <c r="P852" s="99"/>
      <c r="Q852" s="100"/>
    </row>
    <row r="853" spans="10:17" ht="15.75" customHeight="1" x14ac:dyDescent="0.25">
      <c r="J853" s="96"/>
      <c r="N853" s="97"/>
      <c r="O853" s="98"/>
      <c r="P853" s="99"/>
      <c r="Q853" s="100"/>
    </row>
    <row r="854" spans="10:17" ht="15.75" customHeight="1" x14ac:dyDescent="0.25">
      <c r="J854" s="96"/>
      <c r="N854" s="97"/>
      <c r="O854" s="98"/>
      <c r="P854" s="99"/>
      <c r="Q854" s="100"/>
    </row>
    <row r="855" spans="10:17" ht="15.75" customHeight="1" x14ac:dyDescent="0.25">
      <c r="J855" s="96"/>
      <c r="N855" s="97"/>
      <c r="O855" s="98"/>
      <c r="P855" s="99"/>
      <c r="Q855" s="100"/>
    </row>
    <row r="856" spans="10:17" ht="15.75" customHeight="1" x14ac:dyDescent="0.25">
      <c r="J856" s="96"/>
      <c r="N856" s="97"/>
      <c r="O856" s="98"/>
      <c r="P856" s="99"/>
      <c r="Q856" s="100"/>
    </row>
    <row r="857" spans="10:17" ht="15.75" customHeight="1" x14ac:dyDescent="0.25">
      <c r="J857" s="96"/>
      <c r="N857" s="97"/>
      <c r="O857" s="98"/>
      <c r="P857" s="99"/>
      <c r="Q857" s="100"/>
    </row>
    <row r="858" spans="10:17" ht="15.75" customHeight="1" x14ac:dyDescent="0.25">
      <c r="J858" s="96"/>
      <c r="N858" s="97"/>
      <c r="O858" s="98"/>
      <c r="P858" s="99"/>
      <c r="Q858" s="100"/>
    </row>
    <row r="859" spans="10:17" ht="15.75" customHeight="1" x14ac:dyDescent="0.25">
      <c r="J859" s="96"/>
      <c r="N859" s="97"/>
      <c r="O859" s="98"/>
      <c r="P859" s="99"/>
      <c r="Q859" s="100"/>
    </row>
    <row r="860" spans="10:17" ht="15.75" customHeight="1" x14ac:dyDescent="0.25">
      <c r="J860" s="96"/>
      <c r="N860" s="97"/>
      <c r="O860" s="98"/>
      <c r="P860" s="99"/>
      <c r="Q860" s="100"/>
    </row>
    <row r="861" spans="10:17" ht="15.75" customHeight="1" x14ac:dyDescent="0.25">
      <c r="J861" s="96"/>
      <c r="N861" s="97"/>
      <c r="O861" s="98"/>
      <c r="P861" s="99"/>
      <c r="Q861" s="100"/>
    </row>
    <row r="862" spans="10:17" ht="15.75" customHeight="1" x14ac:dyDescent="0.25">
      <c r="J862" s="96"/>
      <c r="N862" s="97"/>
      <c r="O862" s="98"/>
      <c r="P862" s="99"/>
      <c r="Q862" s="100"/>
    </row>
    <row r="863" spans="10:17" ht="15.75" customHeight="1" x14ac:dyDescent="0.25">
      <c r="J863" s="96"/>
      <c r="N863" s="97"/>
      <c r="O863" s="98"/>
      <c r="P863" s="99"/>
      <c r="Q863" s="100"/>
    </row>
    <row r="864" spans="10:17" ht="15.75" customHeight="1" x14ac:dyDescent="0.25">
      <c r="J864" s="96"/>
      <c r="N864" s="97"/>
      <c r="O864" s="98"/>
      <c r="P864" s="99"/>
      <c r="Q864" s="100"/>
    </row>
    <row r="865" spans="10:17" ht="15.75" customHeight="1" x14ac:dyDescent="0.25">
      <c r="J865" s="96"/>
      <c r="N865" s="97"/>
      <c r="O865" s="98"/>
      <c r="P865" s="99"/>
      <c r="Q865" s="100"/>
    </row>
    <row r="866" spans="10:17" ht="15.75" customHeight="1" x14ac:dyDescent="0.25">
      <c r="J866" s="96"/>
      <c r="N866" s="97"/>
      <c r="O866" s="98"/>
      <c r="P866" s="99"/>
      <c r="Q866" s="100"/>
    </row>
    <row r="867" spans="10:17" ht="15.75" customHeight="1" x14ac:dyDescent="0.25">
      <c r="J867" s="96"/>
      <c r="N867" s="97"/>
      <c r="O867" s="98"/>
      <c r="P867" s="99"/>
      <c r="Q867" s="100"/>
    </row>
    <row r="868" spans="10:17" ht="15.75" customHeight="1" x14ac:dyDescent="0.25">
      <c r="J868" s="96"/>
      <c r="N868" s="97"/>
      <c r="O868" s="98"/>
      <c r="P868" s="99"/>
      <c r="Q868" s="100"/>
    </row>
    <row r="869" spans="10:17" ht="15.75" customHeight="1" x14ac:dyDescent="0.25">
      <c r="J869" s="96"/>
      <c r="N869" s="97"/>
      <c r="O869" s="98"/>
      <c r="P869" s="99"/>
      <c r="Q869" s="100"/>
    </row>
    <row r="870" spans="10:17" ht="15.75" customHeight="1" x14ac:dyDescent="0.25">
      <c r="J870" s="96"/>
      <c r="N870" s="97"/>
      <c r="O870" s="98"/>
      <c r="P870" s="99"/>
      <c r="Q870" s="100"/>
    </row>
    <row r="871" spans="10:17" ht="15.75" customHeight="1" x14ac:dyDescent="0.25">
      <c r="J871" s="96"/>
      <c r="N871" s="97"/>
      <c r="O871" s="98"/>
      <c r="P871" s="99"/>
      <c r="Q871" s="100"/>
    </row>
    <row r="872" spans="10:17" ht="15.75" customHeight="1" x14ac:dyDescent="0.25">
      <c r="J872" s="96"/>
      <c r="N872" s="97"/>
      <c r="O872" s="98"/>
      <c r="P872" s="99"/>
      <c r="Q872" s="100"/>
    </row>
    <row r="873" spans="10:17" ht="15.75" customHeight="1" x14ac:dyDescent="0.25">
      <c r="J873" s="96"/>
      <c r="N873" s="97"/>
      <c r="O873" s="98"/>
      <c r="P873" s="99"/>
      <c r="Q873" s="100"/>
    </row>
    <row r="874" spans="10:17" ht="15.75" customHeight="1" x14ac:dyDescent="0.25">
      <c r="J874" s="96"/>
      <c r="N874" s="97"/>
      <c r="O874" s="98"/>
      <c r="P874" s="99"/>
      <c r="Q874" s="100"/>
    </row>
    <row r="875" spans="10:17" ht="15.75" customHeight="1" x14ac:dyDescent="0.25">
      <c r="J875" s="96"/>
      <c r="N875" s="97"/>
      <c r="O875" s="98"/>
      <c r="P875" s="99"/>
      <c r="Q875" s="100"/>
    </row>
    <row r="876" spans="10:17" ht="15.75" customHeight="1" x14ac:dyDescent="0.25">
      <c r="J876" s="96"/>
      <c r="N876" s="97"/>
      <c r="O876" s="98"/>
      <c r="P876" s="99"/>
      <c r="Q876" s="100"/>
    </row>
    <row r="877" spans="10:17" ht="15.75" customHeight="1" x14ac:dyDescent="0.25">
      <c r="J877" s="96"/>
      <c r="N877" s="97"/>
      <c r="O877" s="98"/>
      <c r="P877" s="99"/>
      <c r="Q877" s="100"/>
    </row>
    <row r="878" spans="10:17" ht="15.75" customHeight="1" x14ac:dyDescent="0.25">
      <c r="J878" s="96"/>
      <c r="N878" s="97"/>
      <c r="O878" s="98"/>
      <c r="P878" s="99"/>
      <c r="Q878" s="100"/>
    </row>
    <row r="879" spans="10:17" ht="15.75" customHeight="1" x14ac:dyDescent="0.25">
      <c r="J879" s="96"/>
      <c r="N879" s="97"/>
      <c r="O879" s="98"/>
      <c r="P879" s="99"/>
      <c r="Q879" s="100"/>
    </row>
    <row r="880" spans="10:17" ht="15.75" customHeight="1" x14ac:dyDescent="0.25">
      <c r="J880" s="96"/>
      <c r="N880" s="97"/>
      <c r="O880" s="98"/>
      <c r="P880" s="99"/>
      <c r="Q880" s="100"/>
    </row>
    <row r="881" spans="10:17" ht="15.75" customHeight="1" x14ac:dyDescent="0.25">
      <c r="J881" s="96"/>
      <c r="N881" s="97"/>
      <c r="O881" s="98"/>
      <c r="P881" s="99"/>
      <c r="Q881" s="100"/>
    </row>
    <row r="882" spans="10:17" ht="15.75" customHeight="1" x14ac:dyDescent="0.25">
      <c r="J882" s="96"/>
      <c r="N882" s="97"/>
      <c r="O882" s="98"/>
      <c r="P882" s="99"/>
      <c r="Q882" s="100"/>
    </row>
    <row r="883" spans="10:17" ht="15.75" customHeight="1" x14ac:dyDescent="0.25">
      <c r="J883" s="96"/>
      <c r="N883" s="97"/>
      <c r="O883" s="98"/>
      <c r="P883" s="99"/>
      <c r="Q883" s="100"/>
    </row>
    <row r="884" spans="10:17" ht="15.75" customHeight="1" x14ac:dyDescent="0.25">
      <c r="J884" s="96"/>
      <c r="N884" s="97"/>
      <c r="O884" s="98"/>
      <c r="P884" s="99"/>
      <c r="Q884" s="100"/>
    </row>
    <row r="885" spans="10:17" ht="15.75" customHeight="1" x14ac:dyDescent="0.25">
      <c r="J885" s="96"/>
      <c r="N885" s="97"/>
      <c r="O885" s="98"/>
      <c r="P885" s="99"/>
      <c r="Q885" s="100"/>
    </row>
    <row r="886" spans="10:17" ht="15.75" customHeight="1" x14ac:dyDescent="0.25">
      <c r="J886" s="96"/>
      <c r="N886" s="97"/>
      <c r="O886" s="98"/>
      <c r="P886" s="99"/>
      <c r="Q886" s="100"/>
    </row>
    <row r="887" spans="10:17" ht="15.75" customHeight="1" x14ac:dyDescent="0.25">
      <c r="J887" s="96"/>
      <c r="N887" s="97"/>
      <c r="O887" s="98"/>
      <c r="P887" s="99"/>
      <c r="Q887" s="100"/>
    </row>
    <row r="888" spans="10:17" ht="15.75" customHeight="1" x14ac:dyDescent="0.25">
      <c r="J888" s="96"/>
      <c r="N888" s="97"/>
      <c r="O888" s="98"/>
      <c r="P888" s="99"/>
      <c r="Q888" s="100"/>
    </row>
    <row r="889" spans="10:17" ht="15.75" customHeight="1" x14ac:dyDescent="0.25">
      <c r="J889" s="96"/>
      <c r="N889" s="97"/>
      <c r="O889" s="98"/>
      <c r="P889" s="99"/>
      <c r="Q889" s="100"/>
    </row>
    <row r="890" spans="10:17" ht="15.75" customHeight="1" x14ac:dyDescent="0.25">
      <c r="J890" s="96"/>
      <c r="N890" s="97"/>
      <c r="O890" s="98"/>
      <c r="P890" s="99"/>
      <c r="Q890" s="100"/>
    </row>
    <row r="891" spans="10:17" ht="15.75" customHeight="1" x14ac:dyDescent="0.25">
      <c r="J891" s="96"/>
      <c r="N891" s="97"/>
      <c r="O891" s="98"/>
      <c r="P891" s="99"/>
      <c r="Q891" s="100"/>
    </row>
    <row r="892" spans="10:17" ht="15.75" customHeight="1" x14ac:dyDescent="0.25">
      <c r="J892" s="96"/>
      <c r="N892" s="97"/>
      <c r="O892" s="98"/>
      <c r="P892" s="99"/>
      <c r="Q892" s="100"/>
    </row>
    <row r="893" spans="10:17" ht="15.75" customHeight="1" x14ac:dyDescent="0.25">
      <c r="J893" s="96"/>
      <c r="N893" s="97"/>
      <c r="O893" s="98"/>
      <c r="P893" s="99"/>
      <c r="Q893" s="100"/>
    </row>
    <row r="894" spans="10:17" ht="15.75" customHeight="1" x14ac:dyDescent="0.25">
      <c r="J894" s="96"/>
      <c r="N894" s="97"/>
      <c r="O894" s="98"/>
      <c r="P894" s="99"/>
      <c r="Q894" s="100"/>
    </row>
    <row r="895" spans="10:17" ht="15.75" customHeight="1" x14ac:dyDescent="0.25">
      <c r="J895" s="96"/>
      <c r="N895" s="97"/>
      <c r="O895" s="98"/>
      <c r="P895" s="99"/>
      <c r="Q895" s="100"/>
    </row>
    <row r="896" spans="10:17" ht="15.75" customHeight="1" x14ac:dyDescent="0.25">
      <c r="J896" s="96"/>
      <c r="N896" s="97"/>
      <c r="O896" s="98"/>
      <c r="P896" s="99"/>
      <c r="Q896" s="100"/>
    </row>
    <row r="897" spans="10:17" ht="15.75" customHeight="1" x14ac:dyDescent="0.25">
      <c r="J897" s="96"/>
      <c r="N897" s="97"/>
      <c r="O897" s="98"/>
      <c r="P897" s="99"/>
      <c r="Q897" s="100"/>
    </row>
    <row r="898" spans="10:17" ht="15.75" customHeight="1" x14ac:dyDescent="0.25">
      <c r="J898" s="96"/>
      <c r="N898" s="97"/>
      <c r="O898" s="98"/>
      <c r="P898" s="99"/>
      <c r="Q898" s="100"/>
    </row>
    <row r="899" spans="10:17" ht="15.75" customHeight="1" x14ac:dyDescent="0.25">
      <c r="J899" s="96"/>
      <c r="N899" s="97"/>
      <c r="O899" s="98"/>
      <c r="P899" s="99"/>
      <c r="Q899" s="100"/>
    </row>
    <row r="900" spans="10:17" ht="15.75" customHeight="1" x14ac:dyDescent="0.25">
      <c r="J900" s="96"/>
      <c r="N900" s="97"/>
      <c r="O900" s="98"/>
      <c r="P900" s="99"/>
      <c r="Q900" s="100"/>
    </row>
    <row r="901" spans="10:17" ht="15.75" customHeight="1" x14ac:dyDescent="0.25">
      <c r="J901" s="96"/>
      <c r="N901" s="97"/>
      <c r="O901" s="98"/>
      <c r="P901" s="99"/>
      <c r="Q901" s="100"/>
    </row>
    <row r="902" spans="10:17" ht="15.75" customHeight="1" x14ac:dyDescent="0.25">
      <c r="J902" s="96"/>
      <c r="N902" s="97"/>
      <c r="O902" s="98"/>
      <c r="P902" s="99"/>
      <c r="Q902" s="100"/>
    </row>
    <row r="903" spans="10:17" ht="15.75" customHeight="1" x14ac:dyDescent="0.25">
      <c r="J903" s="96"/>
      <c r="N903" s="97"/>
      <c r="O903" s="98"/>
      <c r="P903" s="99"/>
      <c r="Q903" s="100"/>
    </row>
    <row r="904" spans="10:17" ht="15.75" customHeight="1" x14ac:dyDescent="0.25">
      <c r="J904" s="96"/>
      <c r="N904" s="97"/>
      <c r="O904" s="98"/>
      <c r="P904" s="99"/>
      <c r="Q904" s="100"/>
    </row>
    <row r="905" spans="10:17" ht="15.75" customHeight="1" x14ac:dyDescent="0.25">
      <c r="J905" s="96"/>
      <c r="N905" s="97"/>
      <c r="O905" s="98"/>
      <c r="P905" s="99"/>
      <c r="Q905" s="100"/>
    </row>
    <row r="906" spans="10:17" ht="15.75" customHeight="1" x14ac:dyDescent="0.25">
      <c r="J906" s="96"/>
      <c r="N906" s="97"/>
      <c r="O906" s="98"/>
      <c r="P906" s="99"/>
      <c r="Q906" s="100"/>
    </row>
    <row r="907" spans="10:17" ht="15.75" customHeight="1" x14ac:dyDescent="0.25">
      <c r="J907" s="96"/>
      <c r="N907" s="97"/>
      <c r="O907" s="98"/>
      <c r="P907" s="99"/>
      <c r="Q907" s="100"/>
    </row>
    <row r="908" spans="10:17" ht="15.75" customHeight="1" x14ac:dyDescent="0.25">
      <c r="J908" s="96"/>
      <c r="N908" s="97"/>
      <c r="O908" s="98"/>
      <c r="P908" s="99"/>
      <c r="Q908" s="100"/>
    </row>
    <row r="909" spans="10:17" ht="15.75" customHeight="1" x14ac:dyDescent="0.25">
      <c r="J909" s="96"/>
      <c r="N909" s="97"/>
      <c r="O909" s="98"/>
      <c r="P909" s="99"/>
      <c r="Q909" s="100"/>
    </row>
    <row r="910" spans="10:17" ht="15.75" customHeight="1" x14ac:dyDescent="0.25">
      <c r="J910" s="96"/>
      <c r="N910" s="97"/>
      <c r="O910" s="98"/>
      <c r="P910" s="99"/>
      <c r="Q910" s="100"/>
    </row>
    <row r="911" spans="10:17" ht="15.75" customHeight="1" x14ac:dyDescent="0.25">
      <c r="J911" s="96"/>
      <c r="N911" s="97"/>
      <c r="O911" s="98"/>
      <c r="P911" s="99"/>
      <c r="Q911" s="100"/>
    </row>
    <row r="912" spans="10:17" ht="15.75" customHeight="1" x14ac:dyDescent="0.25">
      <c r="J912" s="96"/>
      <c r="N912" s="97"/>
      <c r="O912" s="98"/>
      <c r="P912" s="99"/>
      <c r="Q912" s="100"/>
    </row>
    <row r="913" spans="10:17" ht="15.75" customHeight="1" x14ac:dyDescent="0.25">
      <c r="J913" s="96"/>
      <c r="N913" s="97"/>
      <c r="O913" s="98"/>
      <c r="P913" s="99"/>
      <c r="Q913" s="100"/>
    </row>
    <row r="914" spans="10:17" ht="15.75" customHeight="1" x14ac:dyDescent="0.25">
      <c r="J914" s="96"/>
      <c r="N914" s="97"/>
      <c r="O914" s="98"/>
      <c r="P914" s="99"/>
      <c r="Q914" s="100"/>
    </row>
    <row r="915" spans="10:17" ht="15.75" customHeight="1" x14ac:dyDescent="0.25">
      <c r="J915" s="96"/>
      <c r="N915" s="97"/>
      <c r="O915" s="98"/>
      <c r="P915" s="99"/>
      <c r="Q915" s="100"/>
    </row>
    <row r="916" spans="10:17" ht="15.75" customHeight="1" x14ac:dyDescent="0.25">
      <c r="J916" s="96"/>
      <c r="N916" s="97"/>
      <c r="O916" s="98"/>
      <c r="P916" s="99"/>
      <c r="Q916" s="100"/>
    </row>
    <row r="917" spans="10:17" ht="15.75" customHeight="1" x14ac:dyDescent="0.25">
      <c r="J917" s="96"/>
      <c r="N917" s="97"/>
      <c r="O917" s="98"/>
      <c r="P917" s="99"/>
      <c r="Q917" s="100"/>
    </row>
    <row r="918" spans="10:17" ht="15.75" customHeight="1" x14ac:dyDescent="0.25">
      <c r="J918" s="96"/>
      <c r="N918" s="97"/>
      <c r="O918" s="98"/>
      <c r="P918" s="99"/>
      <c r="Q918" s="100"/>
    </row>
    <row r="919" spans="10:17" ht="15.75" customHeight="1" x14ac:dyDescent="0.25">
      <c r="J919" s="96"/>
      <c r="N919" s="97"/>
      <c r="O919" s="98"/>
      <c r="P919" s="99"/>
      <c r="Q919" s="100"/>
    </row>
    <row r="920" spans="10:17" ht="15.75" customHeight="1" x14ac:dyDescent="0.25">
      <c r="J920" s="96"/>
      <c r="N920" s="97"/>
      <c r="O920" s="98"/>
      <c r="P920" s="99"/>
      <c r="Q920" s="100"/>
    </row>
    <row r="921" spans="10:17" ht="15.75" customHeight="1" x14ac:dyDescent="0.25">
      <c r="J921" s="96"/>
      <c r="N921" s="97"/>
      <c r="O921" s="98"/>
      <c r="P921" s="99"/>
      <c r="Q921" s="100"/>
    </row>
    <row r="922" spans="10:17" ht="15.75" customHeight="1" x14ac:dyDescent="0.25">
      <c r="J922" s="96"/>
      <c r="N922" s="97"/>
      <c r="O922" s="98"/>
      <c r="P922" s="99"/>
      <c r="Q922" s="100"/>
    </row>
    <row r="923" spans="10:17" ht="15.75" customHeight="1" x14ac:dyDescent="0.25">
      <c r="J923" s="96"/>
      <c r="N923" s="97"/>
      <c r="O923" s="98"/>
      <c r="P923" s="99"/>
      <c r="Q923" s="100"/>
    </row>
    <row r="924" spans="10:17" ht="15.75" customHeight="1" x14ac:dyDescent="0.25">
      <c r="J924" s="96"/>
      <c r="N924" s="97"/>
      <c r="O924" s="98"/>
      <c r="P924" s="99"/>
      <c r="Q924" s="100"/>
    </row>
    <row r="925" spans="10:17" ht="15.75" customHeight="1" x14ac:dyDescent="0.25">
      <c r="J925" s="96"/>
      <c r="N925" s="97"/>
      <c r="O925" s="98"/>
      <c r="P925" s="99"/>
      <c r="Q925" s="100"/>
    </row>
    <row r="926" spans="10:17" ht="15.75" customHeight="1" x14ac:dyDescent="0.25">
      <c r="J926" s="96"/>
      <c r="N926" s="97"/>
      <c r="O926" s="98"/>
      <c r="P926" s="99"/>
      <c r="Q926" s="100"/>
    </row>
    <row r="927" spans="10:17" ht="15.75" customHeight="1" x14ac:dyDescent="0.25">
      <c r="J927" s="96"/>
      <c r="N927" s="97"/>
      <c r="O927" s="98"/>
      <c r="P927" s="99"/>
      <c r="Q927" s="100"/>
    </row>
    <row r="928" spans="10:17" ht="15.75" customHeight="1" x14ac:dyDescent="0.25">
      <c r="J928" s="96"/>
      <c r="N928" s="97"/>
      <c r="O928" s="98"/>
      <c r="P928" s="99"/>
      <c r="Q928" s="100"/>
    </row>
    <row r="929" spans="10:17" ht="15.75" customHeight="1" x14ac:dyDescent="0.25">
      <c r="J929" s="96"/>
      <c r="N929" s="97"/>
      <c r="O929" s="98"/>
      <c r="P929" s="99"/>
      <c r="Q929" s="100"/>
    </row>
    <row r="930" spans="10:17" ht="15.75" customHeight="1" x14ac:dyDescent="0.25">
      <c r="J930" s="96"/>
      <c r="N930" s="97"/>
      <c r="O930" s="98"/>
      <c r="P930" s="99"/>
      <c r="Q930" s="100"/>
    </row>
    <row r="931" spans="10:17" ht="15.75" customHeight="1" x14ac:dyDescent="0.25">
      <c r="J931" s="96"/>
      <c r="N931" s="97"/>
      <c r="O931" s="98"/>
      <c r="P931" s="99"/>
      <c r="Q931" s="100"/>
    </row>
    <row r="932" spans="10:17" ht="15.75" customHeight="1" x14ac:dyDescent="0.25">
      <c r="J932" s="96"/>
      <c r="N932" s="97"/>
      <c r="O932" s="98"/>
      <c r="P932" s="99"/>
      <c r="Q932" s="100"/>
    </row>
    <row r="933" spans="10:17" ht="15.75" customHeight="1" x14ac:dyDescent="0.25">
      <c r="J933" s="96"/>
      <c r="N933" s="97"/>
      <c r="O933" s="98"/>
      <c r="P933" s="99"/>
      <c r="Q933" s="100"/>
    </row>
    <row r="934" spans="10:17" ht="15.75" customHeight="1" x14ac:dyDescent="0.25">
      <c r="J934" s="96"/>
      <c r="N934" s="97"/>
      <c r="O934" s="98"/>
      <c r="P934" s="99"/>
      <c r="Q934" s="100"/>
    </row>
    <row r="935" spans="10:17" ht="15.75" customHeight="1" x14ac:dyDescent="0.25">
      <c r="J935" s="96"/>
      <c r="N935" s="97"/>
      <c r="O935" s="98"/>
      <c r="P935" s="99"/>
      <c r="Q935" s="100"/>
    </row>
    <row r="936" spans="10:17" ht="15.75" customHeight="1" x14ac:dyDescent="0.25">
      <c r="J936" s="96"/>
      <c r="N936" s="97"/>
      <c r="O936" s="98"/>
      <c r="P936" s="99"/>
      <c r="Q936" s="100"/>
    </row>
    <row r="937" spans="10:17" ht="15.75" customHeight="1" x14ac:dyDescent="0.25">
      <c r="J937" s="96"/>
      <c r="N937" s="97"/>
      <c r="O937" s="98"/>
      <c r="P937" s="99"/>
      <c r="Q937" s="100"/>
    </row>
    <row r="938" spans="10:17" ht="15.75" customHeight="1" x14ac:dyDescent="0.25">
      <c r="J938" s="96"/>
      <c r="N938" s="97"/>
      <c r="O938" s="98"/>
      <c r="P938" s="99"/>
      <c r="Q938" s="100"/>
    </row>
    <row r="939" spans="10:17" ht="15.75" customHeight="1" x14ac:dyDescent="0.25">
      <c r="J939" s="96"/>
      <c r="N939" s="97"/>
      <c r="O939" s="98"/>
      <c r="P939" s="99"/>
      <c r="Q939" s="100"/>
    </row>
    <row r="940" spans="10:17" ht="15.75" customHeight="1" x14ac:dyDescent="0.25">
      <c r="J940" s="96"/>
      <c r="N940" s="97"/>
      <c r="O940" s="98"/>
      <c r="P940" s="99"/>
      <c r="Q940" s="100"/>
    </row>
    <row r="941" spans="10:17" ht="15.75" customHeight="1" x14ac:dyDescent="0.25">
      <c r="J941" s="96"/>
      <c r="N941" s="97"/>
      <c r="O941" s="98"/>
      <c r="P941" s="99"/>
      <c r="Q941" s="100"/>
    </row>
    <row r="942" spans="10:17" ht="15.75" customHeight="1" x14ac:dyDescent="0.25">
      <c r="J942" s="96"/>
      <c r="N942" s="97"/>
      <c r="O942" s="98"/>
      <c r="P942" s="99"/>
      <c r="Q942" s="100"/>
    </row>
    <row r="943" spans="10:17" ht="15.75" customHeight="1" x14ac:dyDescent="0.25">
      <c r="J943" s="96"/>
      <c r="N943" s="97"/>
      <c r="O943" s="98"/>
      <c r="P943" s="99"/>
      <c r="Q943" s="100"/>
    </row>
    <row r="944" spans="10:17" ht="15.75" customHeight="1" x14ac:dyDescent="0.25">
      <c r="J944" s="96"/>
      <c r="N944" s="97"/>
      <c r="O944" s="98"/>
      <c r="P944" s="99"/>
      <c r="Q944" s="100"/>
    </row>
    <row r="945" spans="10:17" ht="15.75" customHeight="1" x14ac:dyDescent="0.25">
      <c r="J945" s="96"/>
      <c r="N945" s="97"/>
      <c r="O945" s="98"/>
      <c r="P945" s="99"/>
      <c r="Q945" s="100"/>
    </row>
    <row r="946" spans="10:17" ht="15.75" customHeight="1" x14ac:dyDescent="0.25">
      <c r="J946" s="96"/>
      <c r="N946" s="97"/>
      <c r="O946" s="98"/>
      <c r="P946" s="99"/>
      <c r="Q946" s="100"/>
    </row>
    <row r="947" spans="10:17" ht="15.75" customHeight="1" x14ac:dyDescent="0.25">
      <c r="J947" s="96"/>
      <c r="N947" s="97"/>
      <c r="O947" s="98"/>
      <c r="P947" s="99"/>
      <c r="Q947" s="100"/>
    </row>
    <row r="948" spans="10:17" ht="15.75" customHeight="1" x14ac:dyDescent="0.25">
      <c r="J948" s="96"/>
      <c r="N948" s="97"/>
      <c r="O948" s="98"/>
      <c r="P948" s="99"/>
      <c r="Q948" s="100"/>
    </row>
    <row r="949" spans="10:17" ht="15.75" customHeight="1" x14ac:dyDescent="0.25">
      <c r="J949" s="96"/>
      <c r="N949" s="97"/>
      <c r="O949" s="98"/>
      <c r="P949" s="99"/>
      <c r="Q949" s="100"/>
    </row>
    <row r="950" spans="10:17" ht="15.75" customHeight="1" x14ac:dyDescent="0.25">
      <c r="J950" s="96"/>
      <c r="N950" s="97"/>
      <c r="O950" s="98"/>
      <c r="P950" s="99"/>
      <c r="Q950" s="100"/>
    </row>
    <row r="951" spans="10:17" ht="15.75" customHeight="1" x14ac:dyDescent="0.25">
      <c r="J951" s="96"/>
      <c r="N951" s="97"/>
      <c r="O951" s="98"/>
      <c r="P951" s="99"/>
      <c r="Q951" s="100"/>
    </row>
    <row r="952" spans="10:17" ht="15.75" customHeight="1" x14ac:dyDescent="0.25">
      <c r="J952" s="96"/>
      <c r="N952" s="97"/>
      <c r="O952" s="98"/>
      <c r="P952" s="99"/>
      <c r="Q952" s="100"/>
    </row>
    <row r="953" spans="10:17" ht="15.75" customHeight="1" x14ac:dyDescent="0.25">
      <c r="J953" s="96"/>
      <c r="N953" s="97"/>
      <c r="O953" s="98"/>
      <c r="P953" s="99"/>
      <c r="Q953" s="100"/>
    </row>
    <row r="954" spans="10:17" ht="15.75" customHeight="1" x14ac:dyDescent="0.25">
      <c r="J954" s="96"/>
      <c r="N954" s="97"/>
      <c r="O954" s="98"/>
      <c r="P954" s="99"/>
      <c r="Q954" s="100"/>
    </row>
    <row r="955" spans="10:17" ht="15.75" customHeight="1" x14ac:dyDescent="0.25">
      <c r="J955" s="96"/>
      <c r="N955" s="97"/>
      <c r="O955" s="98"/>
      <c r="P955" s="99"/>
      <c r="Q955" s="100"/>
    </row>
    <row r="956" spans="10:17" ht="15.75" customHeight="1" x14ac:dyDescent="0.25">
      <c r="J956" s="96"/>
      <c r="N956" s="97"/>
      <c r="O956" s="98"/>
      <c r="P956" s="99"/>
      <c r="Q956" s="100"/>
    </row>
    <row r="957" spans="10:17" ht="15.75" customHeight="1" x14ac:dyDescent="0.25">
      <c r="J957" s="96"/>
      <c r="N957" s="97"/>
      <c r="O957" s="98"/>
      <c r="P957" s="99"/>
      <c r="Q957" s="100"/>
    </row>
    <row r="958" spans="10:17" ht="15.75" customHeight="1" x14ac:dyDescent="0.25">
      <c r="J958" s="96"/>
      <c r="N958" s="97"/>
      <c r="O958" s="98"/>
      <c r="P958" s="99"/>
      <c r="Q958" s="100"/>
    </row>
    <row r="959" spans="10:17" ht="15.75" customHeight="1" x14ac:dyDescent="0.25">
      <c r="J959" s="96"/>
      <c r="N959" s="97"/>
      <c r="O959" s="98"/>
      <c r="P959" s="99"/>
      <c r="Q959" s="100"/>
    </row>
    <row r="960" spans="10:17" ht="15.75" customHeight="1" x14ac:dyDescent="0.25">
      <c r="J960" s="96"/>
      <c r="N960" s="97"/>
      <c r="O960" s="98"/>
      <c r="P960" s="99"/>
      <c r="Q960" s="100"/>
    </row>
    <row r="961" spans="10:17" ht="15.75" customHeight="1" x14ac:dyDescent="0.25">
      <c r="J961" s="96"/>
      <c r="N961" s="97"/>
      <c r="O961" s="98"/>
      <c r="P961" s="99"/>
      <c r="Q961" s="100"/>
    </row>
    <row r="962" spans="10:17" ht="15.75" customHeight="1" x14ac:dyDescent="0.25">
      <c r="J962" s="96"/>
      <c r="N962" s="97"/>
      <c r="O962" s="98"/>
      <c r="P962" s="99"/>
      <c r="Q962" s="100"/>
    </row>
    <row r="963" spans="10:17" ht="15.75" customHeight="1" x14ac:dyDescent="0.25">
      <c r="J963" s="96"/>
      <c r="N963" s="97"/>
      <c r="O963" s="98"/>
      <c r="P963" s="99"/>
      <c r="Q963" s="100"/>
    </row>
    <row r="964" spans="10:17" ht="15.75" customHeight="1" x14ac:dyDescent="0.25">
      <c r="J964" s="96"/>
      <c r="N964" s="97"/>
      <c r="O964" s="98"/>
      <c r="P964" s="99"/>
      <c r="Q964" s="100"/>
    </row>
    <row r="965" spans="10:17" ht="15.75" customHeight="1" x14ac:dyDescent="0.25">
      <c r="J965" s="96"/>
      <c r="N965" s="97"/>
      <c r="O965" s="98"/>
      <c r="P965" s="99"/>
      <c r="Q965" s="100"/>
    </row>
    <row r="966" spans="10:17" ht="15.75" customHeight="1" x14ac:dyDescent="0.25">
      <c r="J966" s="96"/>
      <c r="N966" s="97"/>
      <c r="O966" s="98"/>
      <c r="P966" s="99"/>
      <c r="Q966" s="100"/>
    </row>
    <row r="967" spans="10:17" ht="15.75" customHeight="1" x14ac:dyDescent="0.25">
      <c r="J967" s="96"/>
      <c r="N967" s="97"/>
      <c r="O967" s="98"/>
      <c r="P967" s="99"/>
      <c r="Q967" s="100"/>
    </row>
    <row r="968" spans="10:17" ht="15.75" customHeight="1" x14ac:dyDescent="0.25">
      <c r="J968" s="96"/>
      <c r="N968" s="97"/>
      <c r="O968" s="98"/>
      <c r="P968" s="99"/>
      <c r="Q968" s="100"/>
    </row>
    <row r="969" spans="10:17" ht="15.75" customHeight="1" x14ac:dyDescent="0.25">
      <c r="J969" s="96"/>
      <c r="N969" s="97"/>
      <c r="O969" s="98"/>
      <c r="P969" s="99"/>
      <c r="Q969" s="100"/>
    </row>
    <row r="970" spans="10:17" ht="15.75" customHeight="1" x14ac:dyDescent="0.25">
      <c r="J970" s="96"/>
      <c r="N970" s="97"/>
      <c r="O970" s="98"/>
      <c r="P970" s="99"/>
      <c r="Q970" s="100"/>
    </row>
    <row r="971" spans="10:17" ht="15.75" customHeight="1" x14ac:dyDescent="0.25">
      <c r="J971" s="96"/>
      <c r="N971" s="97"/>
      <c r="O971" s="98"/>
      <c r="P971" s="99"/>
      <c r="Q971" s="100"/>
    </row>
    <row r="972" spans="10:17" ht="15.75" customHeight="1" x14ac:dyDescent="0.25">
      <c r="J972" s="96"/>
      <c r="N972" s="97"/>
      <c r="O972" s="98"/>
      <c r="P972" s="99"/>
      <c r="Q972" s="100"/>
    </row>
  </sheetData>
  <hyperlinks>
    <hyperlink ref="O2" r:id="rId1" xr:uid="{00000000-0004-0000-0200-000000000000}"/>
    <hyperlink ref="O3" r:id="rId2" xr:uid="{00000000-0004-0000-0200-000001000000}"/>
    <hyperlink ref="O4" r:id="rId3" xr:uid="{00000000-0004-0000-0200-000002000000}"/>
    <hyperlink ref="O5" r:id="rId4" xr:uid="{00000000-0004-0000-0200-000003000000}"/>
    <hyperlink ref="O6" r:id="rId5" xr:uid="{00000000-0004-0000-0200-000004000000}"/>
    <hyperlink ref="O7" r:id="rId6" xr:uid="{00000000-0004-0000-0200-000005000000}"/>
    <hyperlink ref="O8" r:id="rId7" xr:uid="{00000000-0004-0000-0200-000006000000}"/>
    <hyperlink ref="O9" r:id="rId8" xr:uid="{00000000-0004-0000-0200-000007000000}"/>
    <hyperlink ref="O10" r:id="rId9" xr:uid="{00000000-0004-0000-0200-000008000000}"/>
    <hyperlink ref="O11" r:id="rId10" xr:uid="{00000000-0004-0000-0200-000009000000}"/>
    <hyperlink ref="O12" r:id="rId11" xr:uid="{00000000-0004-0000-0200-00000A000000}"/>
    <hyperlink ref="O13" r:id="rId12" xr:uid="{00000000-0004-0000-0200-00000B000000}"/>
    <hyperlink ref="O14" r:id="rId13" xr:uid="{00000000-0004-0000-0200-00000C000000}"/>
    <hyperlink ref="O15" r:id="rId14" xr:uid="{00000000-0004-0000-0200-00000D000000}"/>
    <hyperlink ref="O16" r:id="rId15" xr:uid="{00000000-0004-0000-0200-00000E000000}"/>
    <hyperlink ref="O17" r:id="rId16" xr:uid="{00000000-0004-0000-0200-00000F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23"/>
  <sheetViews>
    <sheetView zoomScale="84" zoomScaleNormal="84" workbookViewId="0">
      <pane ySplit="1" topLeftCell="A41" activePane="bottomLeft" state="frozen"/>
      <selection pane="bottomLeft" sqref="A1:XFD1"/>
    </sheetView>
  </sheetViews>
  <sheetFormatPr defaultColWidth="14.42578125" defaultRowHeight="15" customHeight="1" x14ac:dyDescent="0.25"/>
  <cols>
    <col min="1" max="6" width="20.7109375" customWidth="1"/>
    <col min="7" max="7" width="40.7109375" customWidth="1"/>
    <col min="8" max="18" width="20.7109375" customWidth="1"/>
    <col min="19" max="21" width="30.7109375" customWidth="1"/>
    <col min="22" max="22" width="25.7109375" customWidth="1"/>
    <col min="23" max="25" width="22.7109375" customWidth="1"/>
    <col min="26" max="30" width="8.7109375" customWidth="1"/>
  </cols>
  <sheetData>
    <row r="1" spans="1:30" ht="39.950000000000003" customHeight="1" x14ac:dyDescent="0.25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235</v>
      </c>
      <c r="J1" s="73" t="s">
        <v>236</v>
      </c>
      <c r="K1" s="1" t="s">
        <v>237</v>
      </c>
      <c r="L1" s="73" t="s">
        <v>8</v>
      </c>
      <c r="M1" s="73" t="s">
        <v>10</v>
      </c>
      <c r="N1" s="73" t="s">
        <v>12</v>
      </c>
      <c r="O1" s="73" t="s">
        <v>238</v>
      </c>
      <c r="P1" s="73" t="s">
        <v>239</v>
      </c>
      <c r="Q1" s="76" t="s">
        <v>240</v>
      </c>
      <c r="R1" s="76" t="s">
        <v>241</v>
      </c>
      <c r="S1" s="76" t="s">
        <v>242</v>
      </c>
      <c r="T1" s="73" t="s">
        <v>18</v>
      </c>
      <c r="U1" s="73" t="s">
        <v>19</v>
      </c>
      <c r="V1" s="76" t="s">
        <v>243</v>
      </c>
      <c r="W1" s="76" t="s">
        <v>21</v>
      </c>
      <c r="X1" s="101" t="s">
        <v>26</v>
      </c>
      <c r="Y1" s="4" t="s">
        <v>244</v>
      </c>
      <c r="Z1" s="77"/>
      <c r="AA1" s="77"/>
      <c r="AB1" s="77"/>
      <c r="AC1" s="77"/>
      <c r="AD1" s="77"/>
    </row>
    <row r="2" spans="1:30" ht="39.950000000000003" customHeight="1" x14ac:dyDescent="0.25">
      <c r="A2" s="61" t="s">
        <v>245</v>
      </c>
      <c r="B2" s="61" t="s">
        <v>246</v>
      </c>
      <c r="C2" s="61" t="s">
        <v>65</v>
      </c>
      <c r="D2" s="13" t="s">
        <v>247</v>
      </c>
      <c r="E2" s="61" t="s">
        <v>248</v>
      </c>
      <c r="F2" s="61">
        <v>1</v>
      </c>
      <c r="G2" s="61" t="s">
        <v>249</v>
      </c>
      <c r="H2" s="61" t="s">
        <v>250</v>
      </c>
      <c r="I2" s="61"/>
      <c r="J2" s="61"/>
      <c r="K2" s="61">
        <v>2.4</v>
      </c>
      <c r="L2" s="61">
        <v>2.4</v>
      </c>
      <c r="M2" s="61">
        <v>1.7999999999999999E-2</v>
      </c>
      <c r="N2" s="61">
        <v>1</v>
      </c>
      <c r="O2" s="61">
        <f t="shared" ref="O2:O5" si="0">K2*L2*M2*N2</f>
        <v>0.10367999999999999</v>
      </c>
      <c r="P2" s="61">
        <v>600</v>
      </c>
      <c r="Q2" s="102">
        <f t="shared" ref="Q2:Q5" si="1">O2*P2</f>
        <v>62.207999999999998</v>
      </c>
      <c r="R2" s="102">
        <f t="shared" ref="R2:R36" si="2">Q2/5.76</f>
        <v>10.8</v>
      </c>
      <c r="S2" s="102">
        <v>0.45500000000000002</v>
      </c>
      <c r="T2" s="19" t="s">
        <v>44</v>
      </c>
      <c r="U2" s="21" t="s">
        <v>251</v>
      </c>
      <c r="V2" s="102">
        <f t="shared" ref="V2:V5" si="3">(Q2*S2)</f>
        <v>28.304639999999999</v>
      </c>
      <c r="W2" s="102">
        <f t="shared" ref="W2:W50" si="4">V2/5.76</f>
        <v>4.9139999999999997</v>
      </c>
      <c r="X2" s="61" t="s">
        <v>39</v>
      </c>
      <c r="Y2" s="13" t="s">
        <v>252</v>
      </c>
      <c r="Z2" s="61"/>
      <c r="AA2" s="61"/>
      <c r="AB2" s="61"/>
      <c r="AC2" s="61"/>
      <c r="AD2" s="61"/>
    </row>
    <row r="3" spans="1:30" ht="39.950000000000003" customHeight="1" x14ac:dyDescent="0.25">
      <c r="A3" s="61" t="s">
        <v>245</v>
      </c>
      <c r="B3" s="61" t="s">
        <v>246</v>
      </c>
      <c r="C3" s="61" t="s">
        <v>65</v>
      </c>
      <c r="D3" s="13" t="s">
        <v>247</v>
      </c>
      <c r="E3" s="61" t="s">
        <v>248</v>
      </c>
      <c r="F3" s="61">
        <v>2</v>
      </c>
      <c r="G3" s="61" t="s">
        <v>253</v>
      </c>
      <c r="H3" s="61" t="s">
        <v>254</v>
      </c>
      <c r="I3" s="61"/>
      <c r="J3" s="61"/>
      <c r="K3" s="61">
        <v>4.1000000000000002E-2</v>
      </c>
      <c r="L3" s="61">
        <v>2.4</v>
      </c>
      <c r="M3" s="61">
        <v>0.1</v>
      </c>
      <c r="N3" s="61">
        <v>14</v>
      </c>
      <c r="O3" s="61">
        <f t="shared" si="0"/>
        <v>0.13776000000000002</v>
      </c>
      <c r="P3" s="61">
        <v>22</v>
      </c>
      <c r="Q3" s="102">
        <f t="shared" si="1"/>
        <v>3.0307200000000005</v>
      </c>
      <c r="R3" s="102">
        <f t="shared" si="2"/>
        <v>0.52616666666666678</v>
      </c>
      <c r="S3" s="102">
        <v>1.25</v>
      </c>
      <c r="T3" s="19" t="s">
        <v>44</v>
      </c>
      <c r="U3" s="103" t="s">
        <v>255</v>
      </c>
      <c r="V3" s="102">
        <f t="shared" si="3"/>
        <v>3.7884000000000007</v>
      </c>
      <c r="W3" s="102">
        <f t="shared" si="4"/>
        <v>0.65770833333333345</v>
      </c>
      <c r="X3" s="61" t="s">
        <v>39</v>
      </c>
      <c r="Y3" s="13" t="s">
        <v>252</v>
      </c>
      <c r="Z3" s="61"/>
      <c r="AA3" s="61"/>
      <c r="AB3" s="61"/>
      <c r="AC3" s="61"/>
      <c r="AD3" s="61"/>
    </row>
    <row r="4" spans="1:30" ht="39.950000000000003" customHeight="1" x14ac:dyDescent="0.25">
      <c r="A4" s="61" t="s">
        <v>245</v>
      </c>
      <c r="B4" s="61" t="s">
        <v>246</v>
      </c>
      <c r="C4" s="61" t="s">
        <v>65</v>
      </c>
      <c r="D4" s="13" t="s">
        <v>247</v>
      </c>
      <c r="E4" s="61" t="s">
        <v>248</v>
      </c>
      <c r="F4" s="61">
        <v>3</v>
      </c>
      <c r="G4" s="61" t="s">
        <v>256</v>
      </c>
      <c r="H4" s="61" t="s">
        <v>257</v>
      </c>
      <c r="I4" s="61"/>
      <c r="J4" s="61"/>
      <c r="K4" s="61">
        <v>3.9E-2</v>
      </c>
      <c r="L4" s="61">
        <v>2.4</v>
      </c>
      <c r="M4" s="61">
        <v>0.09</v>
      </c>
      <c r="N4" s="61">
        <v>14</v>
      </c>
      <c r="O4" s="61">
        <f t="shared" si="0"/>
        <v>0.11793599999999999</v>
      </c>
      <c r="P4" s="61">
        <v>595.91999999999996</v>
      </c>
      <c r="Q4" s="102">
        <f t="shared" si="1"/>
        <v>70.280421119999986</v>
      </c>
      <c r="R4" s="102">
        <f t="shared" si="2"/>
        <v>12.201461999999998</v>
      </c>
      <c r="S4" s="102">
        <v>0.39</v>
      </c>
      <c r="T4" s="19" t="s">
        <v>44</v>
      </c>
      <c r="U4" s="21" t="s">
        <v>258</v>
      </c>
      <c r="V4" s="102">
        <f t="shared" si="3"/>
        <v>27.409364236799995</v>
      </c>
      <c r="W4" s="102">
        <f t="shared" si="4"/>
        <v>4.7585701799999995</v>
      </c>
      <c r="X4" s="61" t="s">
        <v>39</v>
      </c>
      <c r="Y4" s="13" t="s">
        <v>252</v>
      </c>
      <c r="Z4" s="61"/>
      <c r="AA4" s="61"/>
      <c r="AB4" s="61"/>
      <c r="AC4" s="61"/>
      <c r="AD4" s="61"/>
    </row>
    <row r="5" spans="1:30" ht="39.950000000000003" customHeight="1" x14ac:dyDescent="0.25">
      <c r="A5" s="61" t="s">
        <v>245</v>
      </c>
      <c r="B5" s="61" t="s">
        <v>246</v>
      </c>
      <c r="C5" s="61" t="s">
        <v>65</v>
      </c>
      <c r="D5" s="13" t="s">
        <v>247</v>
      </c>
      <c r="E5" s="61" t="s">
        <v>248</v>
      </c>
      <c r="F5" s="61">
        <v>4</v>
      </c>
      <c r="G5" s="61" t="s">
        <v>259</v>
      </c>
      <c r="H5" s="61" t="s">
        <v>260</v>
      </c>
      <c r="I5" s="61"/>
      <c r="J5" s="61"/>
      <c r="K5" s="61">
        <v>0.24199999999999999</v>
      </c>
      <c r="L5" s="61">
        <v>2.4</v>
      </c>
      <c r="M5" s="61">
        <v>8.0000000000000002E-3</v>
      </c>
      <c r="N5" s="61">
        <v>7</v>
      </c>
      <c r="O5" s="61">
        <f t="shared" si="0"/>
        <v>3.25248E-2</v>
      </c>
      <c r="P5" s="61">
        <v>600</v>
      </c>
      <c r="Q5" s="102">
        <f t="shared" si="1"/>
        <v>19.514879999999998</v>
      </c>
      <c r="R5" s="102">
        <f t="shared" si="2"/>
        <v>3.3879999999999999</v>
      </c>
      <c r="S5" s="102">
        <v>0.45500000000000002</v>
      </c>
      <c r="T5" s="19" t="s">
        <v>44</v>
      </c>
      <c r="U5" s="21" t="s">
        <v>261</v>
      </c>
      <c r="V5" s="102">
        <f t="shared" si="3"/>
        <v>8.8792703999999993</v>
      </c>
      <c r="W5" s="102">
        <f t="shared" si="4"/>
        <v>1.5415399999999999</v>
      </c>
      <c r="X5" s="61" t="s">
        <v>39</v>
      </c>
      <c r="Y5" s="13" t="s">
        <v>252</v>
      </c>
      <c r="Z5" s="61"/>
      <c r="AA5" s="61"/>
      <c r="AB5" s="61"/>
      <c r="AC5" s="61"/>
      <c r="AD5" s="61"/>
    </row>
    <row r="6" spans="1:30" ht="39.950000000000003" customHeight="1" x14ac:dyDescent="0.25">
      <c r="A6" s="61" t="s">
        <v>245</v>
      </c>
      <c r="B6" s="61" t="s">
        <v>246</v>
      </c>
      <c r="C6" s="61" t="s">
        <v>65</v>
      </c>
      <c r="D6" s="13" t="s">
        <v>262</v>
      </c>
      <c r="E6" s="61" t="s">
        <v>248</v>
      </c>
      <c r="F6" s="61">
        <v>5</v>
      </c>
      <c r="G6" s="61" t="s">
        <v>263</v>
      </c>
      <c r="H6" s="61" t="s">
        <v>264</v>
      </c>
      <c r="I6" s="61"/>
      <c r="J6" s="61"/>
      <c r="K6" s="61"/>
      <c r="L6" s="61">
        <v>2.4</v>
      </c>
      <c r="M6" s="61"/>
      <c r="N6" s="61">
        <v>7</v>
      </c>
      <c r="O6" s="61"/>
      <c r="P6" s="61"/>
      <c r="Q6" s="102">
        <f t="shared" ref="Q6:Q7" si="5">L6*0.35*N6</f>
        <v>5.88</v>
      </c>
      <c r="R6" s="102">
        <f t="shared" si="2"/>
        <v>1.0208333333333333</v>
      </c>
      <c r="S6" s="102">
        <v>3.2</v>
      </c>
      <c r="T6" s="19" t="s">
        <v>44</v>
      </c>
      <c r="U6" s="21" t="s">
        <v>265</v>
      </c>
      <c r="V6" s="102">
        <f t="shared" ref="V6:V7" si="6">Q6*S6</f>
        <v>18.815999999999999</v>
      </c>
      <c r="W6" s="102">
        <f t="shared" si="4"/>
        <v>3.2666666666666666</v>
      </c>
      <c r="X6" s="61" t="s">
        <v>39</v>
      </c>
      <c r="Y6" s="13" t="s">
        <v>252</v>
      </c>
      <c r="Z6" s="61"/>
      <c r="AA6" s="61"/>
      <c r="AB6" s="61"/>
      <c r="AC6" s="61"/>
      <c r="AD6" s="61"/>
    </row>
    <row r="7" spans="1:30" ht="39.950000000000003" customHeight="1" x14ac:dyDescent="0.25">
      <c r="A7" s="61" t="s">
        <v>245</v>
      </c>
      <c r="B7" s="61" t="s">
        <v>246</v>
      </c>
      <c r="C7" s="61" t="s">
        <v>65</v>
      </c>
      <c r="D7" s="13" t="s">
        <v>266</v>
      </c>
      <c r="E7" s="61" t="s">
        <v>248</v>
      </c>
      <c r="F7" s="61">
        <v>6</v>
      </c>
      <c r="G7" s="61" t="s">
        <v>263</v>
      </c>
      <c r="H7" s="61" t="s">
        <v>267</v>
      </c>
      <c r="I7" s="61"/>
      <c r="J7" s="61"/>
      <c r="K7" s="61"/>
      <c r="L7" s="61">
        <v>2.4</v>
      </c>
      <c r="M7" s="61"/>
      <c r="N7" s="61">
        <v>7</v>
      </c>
      <c r="O7" s="61"/>
      <c r="P7" s="61"/>
      <c r="Q7" s="102">
        <f t="shared" si="5"/>
        <v>5.88</v>
      </c>
      <c r="R7" s="102">
        <f t="shared" si="2"/>
        <v>1.0208333333333333</v>
      </c>
      <c r="S7" s="102">
        <v>3.2</v>
      </c>
      <c r="T7" s="19" t="s">
        <v>44</v>
      </c>
      <c r="U7" s="21" t="s">
        <v>268</v>
      </c>
      <c r="V7" s="102">
        <f t="shared" si="6"/>
        <v>18.815999999999999</v>
      </c>
      <c r="W7" s="102">
        <f t="shared" si="4"/>
        <v>3.2666666666666666</v>
      </c>
      <c r="X7" s="61" t="s">
        <v>39</v>
      </c>
      <c r="Y7" s="13" t="s">
        <v>252</v>
      </c>
      <c r="Z7" s="61"/>
      <c r="AA7" s="61"/>
      <c r="AB7" s="61"/>
      <c r="AC7" s="61"/>
      <c r="AD7" s="61"/>
    </row>
    <row r="8" spans="1:30" ht="39.950000000000003" customHeight="1" x14ac:dyDescent="0.25">
      <c r="A8" s="61" t="s">
        <v>245</v>
      </c>
      <c r="B8" s="61" t="s">
        <v>246</v>
      </c>
      <c r="C8" s="61" t="s">
        <v>65</v>
      </c>
      <c r="D8" s="13" t="s">
        <v>269</v>
      </c>
      <c r="E8" s="61" t="s">
        <v>248</v>
      </c>
      <c r="F8" s="61">
        <v>7</v>
      </c>
      <c r="G8" s="61" t="s">
        <v>270</v>
      </c>
      <c r="H8" s="61" t="s">
        <v>271</v>
      </c>
      <c r="I8" s="61"/>
      <c r="J8" s="61"/>
      <c r="K8" s="61">
        <v>2.4</v>
      </c>
      <c r="L8" s="61">
        <v>2.4</v>
      </c>
      <c r="M8" s="61">
        <v>2.5000000000000001E-2</v>
      </c>
      <c r="N8" s="61">
        <v>1</v>
      </c>
      <c r="O8" s="61">
        <f>K8*L8*M8*N8</f>
        <v>0.14399999999999999</v>
      </c>
      <c r="P8" s="61">
        <v>800</v>
      </c>
      <c r="Q8" s="102">
        <f>O8*P8</f>
        <v>115.19999999999999</v>
      </c>
      <c r="R8" s="102">
        <f t="shared" si="2"/>
        <v>20</v>
      </c>
      <c r="S8" s="14">
        <v>2.4</v>
      </c>
      <c r="T8" s="17" t="s">
        <v>34</v>
      </c>
      <c r="U8" s="18" t="s">
        <v>272</v>
      </c>
      <c r="V8" s="102">
        <f>S8*5.76*2</f>
        <v>27.648</v>
      </c>
      <c r="W8" s="102">
        <f t="shared" si="4"/>
        <v>4.8</v>
      </c>
      <c r="X8" s="61" t="s">
        <v>39</v>
      </c>
      <c r="Y8" s="13" t="s">
        <v>252</v>
      </c>
      <c r="Z8" s="61"/>
      <c r="AA8" s="61"/>
      <c r="AB8" s="61"/>
      <c r="AC8" s="61"/>
      <c r="AD8" s="61"/>
    </row>
    <row r="9" spans="1:30" ht="39.950000000000003" customHeight="1" x14ac:dyDescent="0.25">
      <c r="A9" s="61" t="s">
        <v>245</v>
      </c>
      <c r="B9" s="61" t="s">
        <v>246</v>
      </c>
      <c r="C9" s="61" t="s">
        <v>65</v>
      </c>
      <c r="D9" s="13" t="s">
        <v>273</v>
      </c>
      <c r="E9" s="61" t="s">
        <v>248</v>
      </c>
      <c r="F9" s="61">
        <v>8</v>
      </c>
      <c r="G9" s="61" t="s">
        <v>274</v>
      </c>
      <c r="H9" s="61" t="s">
        <v>264</v>
      </c>
      <c r="I9" s="61"/>
      <c r="J9" s="61"/>
      <c r="K9" s="61"/>
      <c r="L9" s="61">
        <v>2.4</v>
      </c>
      <c r="M9" s="61"/>
      <c r="N9" s="61">
        <v>7</v>
      </c>
      <c r="O9" s="61"/>
      <c r="P9" s="61"/>
      <c r="Q9" s="102">
        <f>L9*0.35*N9</f>
        <v>5.88</v>
      </c>
      <c r="R9" s="102">
        <f t="shared" si="2"/>
        <v>1.0208333333333333</v>
      </c>
      <c r="S9" s="102">
        <v>3.2</v>
      </c>
      <c r="T9" s="19" t="s">
        <v>44</v>
      </c>
      <c r="U9" s="21" t="s">
        <v>275</v>
      </c>
      <c r="V9" s="102">
        <f>Q9*S9</f>
        <v>18.815999999999999</v>
      </c>
      <c r="W9" s="102">
        <f t="shared" si="4"/>
        <v>3.2666666666666666</v>
      </c>
      <c r="X9" s="61" t="s">
        <v>39</v>
      </c>
      <c r="Y9" s="13" t="s">
        <v>252</v>
      </c>
      <c r="Z9" s="61"/>
      <c r="AA9" s="61"/>
      <c r="AB9" s="61"/>
      <c r="AC9" s="61"/>
      <c r="AD9" s="61"/>
    </row>
    <row r="10" spans="1:30" ht="39.950000000000003" customHeight="1" x14ac:dyDescent="0.25">
      <c r="A10" s="61" t="s">
        <v>245</v>
      </c>
      <c r="B10" s="61" t="s">
        <v>246</v>
      </c>
      <c r="C10" s="61" t="s">
        <v>65</v>
      </c>
      <c r="D10" s="13" t="s">
        <v>276</v>
      </c>
      <c r="E10" s="61" t="s">
        <v>248</v>
      </c>
      <c r="F10" s="61">
        <v>9</v>
      </c>
      <c r="G10" s="61" t="s">
        <v>277</v>
      </c>
      <c r="H10" s="61" t="s">
        <v>278</v>
      </c>
      <c r="I10" s="104"/>
      <c r="J10" s="104"/>
      <c r="K10" s="61">
        <v>2.4</v>
      </c>
      <c r="L10" s="61">
        <v>2.4</v>
      </c>
      <c r="M10" s="61">
        <v>1.2500000000000001E-2</v>
      </c>
      <c r="N10" s="61">
        <v>1</v>
      </c>
      <c r="O10" s="61">
        <f t="shared" ref="O10:O15" si="7">K10*L10*M10*N10</f>
        <v>7.1999999999999995E-2</v>
      </c>
      <c r="P10" s="61">
        <v>800</v>
      </c>
      <c r="Q10" s="102">
        <f t="shared" ref="Q10:Q15" si="8">O10*P10</f>
        <v>57.599999999999994</v>
      </c>
      <c r="R10" s="102">
        <f t="shared" si="2"/>
        <v>10</v>
      </c>
      <c r="S10" s="14">
        <v>2.4</v>
      </c>
      <c r="T10" s="17" t="s">
        <v>34</v>
      </c>
      <c r="U10" s="18" t="s">
        <v>279</v>
      </c>
      <c r="V10" s="102">
        <f>S10*5.76</f>
        <v>13.824</v>
      </c>
      <c r="W10" s="102">
        <f t="shared" si="4"/>
        <v>2.4</v>
      </c>
      <c r="X10" s="61" t="s">
        <v>39</v>
      </c>
      <c r="Y10" s="13" t="s">
        <v>252</v>
      </c>
      <c r="Z10" s="104"/>
      <c r="AA10" s="104"/>
      <c r="AB10" s="104"/>
      <c r="AC10" s="104"/>
      <c r="AD10" s="104"/>
    </row>
    <row r="11" spans="1:30" ht="39.950000000000003" customHeight="1" x14ac:dyDescent="0.25">
      <c r="A11" s="70" t="s">
        <v>245</v>
      </c>
      <c r="B11" s="70" t="s">
        <v>280</v>
      </c>
      <c r="C11" s="70" t="s">
        <v>65</v>
      </c>
      <c r="D11" s="62" t="s">
        <v>281</v>
      </c>
      <c r="E11" s="70" t="s">
        <v>248</v>
      </c>
      <c r="F11" s="70">
        <v>1</v>
      </c>
      <c r="G11" s="70" t="s">
        <v>249</v>
      </c>
      <c r="H11" s="70" t="s">
        <v>250</v>
      </c>
      <c r="I11" s="70"/>
      <c r="J11" s="70"/>
      <c r="K11" s="70">
        <v>2.4</v>
      </c>
      <c r="L11" s="70">
        <v>2.4</v>
      </c>
      <c r="M11" s="70">
        <v>1.7999999999999999E-2</v>
      </c>
      <c r="N11" s="70">
        <v>1</v>
      </c>
      <c r="O11" s="70">
        <f t="shared" si="7"/>
        <v>0.10367999999999999</v>
      </c>
      <c r="P11" s="70">
        <v>600</v>
      </c>
      <c r="Q11" s="105">
        <f t="shared" si="8"/>
        <v>62.207999999999998</v>
      </c>
      <c r="R11" s="105">
        <f t="shared" si="2"/>
        <v>10.8</v>
      </c>
      <c r="S11" s="105">
        <v>0.45500000000000002</v>
      </c>
      <c r="T11" s="68" t="s">
        <v>44</v>
      </c>
      <c r="U11" s="106" t="s">
        <v>282</v>
      </c>
      <c r="V11" s="105">
        <f>Q11*S11</f>
        <v>28.304639999999999</v>
      </c>
      <c r="W11" s="105">
        <f t="shared" si="4"/>
        <v>4.9139999999999997</v>
      </c>
      <c r="X11" s="70" t="s">
        <v>39</v>
      </c>
      <c r="Y11" s="62" t="s">
        <v>252</v>
      </c>
      <c r="Z11" s="70"/>
      <c r="AA11" s="70"/>
      <c r="AB11" s="70"/>
      <c r="AC11" s="70"/>
      <c r="AD11" s="70"/>
    </row>
    <row r="12" spans="1:30" ht="39.950000000000003" customHeight="1" x14ac:dyDescent="0.25">
      <c r="A12" s="107" t="s">
        <v>245</v>
      </c>
      <c r="B12" s="70" t="s">
        <v>280</v>
      </c>
      <c r="C12" s="107" t="s">
        <v>65</v>
      </c>
      <c r="D12" s="65" t="s">
        <v>247</v>
      </c>
      <c r="E12" s="107" t="s">
        <v>248</v>
      </c>
      <c r="F12" s="108">
        <v>2</v>
      </c>
      <c r="G12" s="107" t="s">
        <v>283</v>
      </c>
      <c r="H12" s="107" t="s">
        <v>254</v>
      </c>
      <c r="I12" s="107"/>
      <c r="J12" s="107"/>
      <c r="K12" s="107">
        <v>4.1000000000000002E-2</v>
      </c>
      <c r="L12" s="107">
        <v>2.4</v>
      </c>
      <c r="M12" s="107">
        <v>0.1</v>
      </c>
      <c r="N12" s="107">
        <v>14</v>
      </c>
      <c r="O12" s="107">
        <f t="shared" si="7"/>
        <v>0.13776000000000002</v>
      </c>
      <c r="P12" s="107">
        <v>22</v>
      </c>
      <c r="Q12" s="107">
        <f t="shared" si="8"/>
        <v>3.0307200000000005</v>
      </c>
      <c r="R12" s="107">
        <f t="shared" si="2"/>
        <v>0.52616666666666678</v>
      </c>
      <c r="S12" s="105">
        <v>1.25</v>
      </c>
      <c r="T12" s="109" t="s">
        <v>44</v>
      </c>
      <c r="U12" s="110" t="s">
        <v>284</v>
      </c>
      <c r="V12" s="105">
        <f>(Q12*S12)</f>
        <v>3.7884000000000007</v>
      </c>
      <c r="W12" s="107">
        <f t="shared" si="4"/>
        <v>0.65770833333333345</v>
      </c>
      <c r="X12" s="70" t="s">
        <v>39</v>
      </c>
      <c r="Y12" s="62" t="s">
        <v>252</v>
      </c>
      <c r="Z12" s="107"/>
      <c r="AA12" s="107"/>
      <c r="AB12" s="107"/>
      <c r="AC12" s="107"/>
      <c r="AD12" s="107"/>
    </row>
    <row r="13" spans="1:30" ht="39.950000000000003" customHeight="1" x14ac:dyDescent="0.25">
      <c r="A13" s="70" t="s">
        <v>245</v>
      </c>
      <c r="B13" s="70" t="s">
        <v>280</v>
      </c>
      <c r="C13" s="70" t="s">
        <v>65</v>
      </c>
      <c r="D13" s="62" t="s">
        <v>281</v>
      </c>
      <c r="E13" s="70" t="s">
        <v>248</v>
      </c>
      <c r="F13" s="70">
        <v>3</v>
      </c>
      <c r="G13" s="70" t="s">
        <v>285</v>
      </c>
      <c r="H13" s="70" t="s">
        <v>286</v>
      </c>
      <c r="I13" s="70"/>
      <c r="J13" s="70"/>
      <c r="K13" s="70">
        <v>9.7000000000000003E-2</v>
      </c>
      <c r="L13" s="70">
        <v>2.4</v>
      </c>
      <c r="M13" s="70">
        <v>4.7E-2</v>
      </c>
      <c r="N13" s="70">
        <v>14</v>
      </c>
      <c r="O13" s="70">
        <f t="shared" si="7"/>
        <v>0.15318240000000002</v>
      </c>
      <c r="P13" s="70">
        <v>544</v>
      </c>
      <c r="Q13" s="105">
        <f t="shared" si="8"/>
        <v>83.33122560000001</v>
      </c>
      <c r="R13" s="105">
        <f t="shared" si="2"/>
        <v>14.467226666666669</v>
      </c>
      <c r="S13" s="105">
        <v>0.33</v>
      </c>
      <c r="T13" s="109" t="s">
        <v>44</v>
      </c>
      <c r="U13" s="111" t="s">
        <v>287</v>
      </c>
      <c r="V13" s="105">
        <f t="shared" ref="V13:V18" si="9">Q13*S13</f>
        <v>27.499304448000004</v>
      </c>
      <c r="W13" s="105">
        <f t="shared" si="4"/>
        <v>4.7741848000000005</v>
      </c>
      <c r="X13" s="70" t="s">
        <v>39</v>
      </c>
      <c r="Y13" s="62" t="s">
        <v>252</v>
      </c>
      <c r="Z13" s="70"/>
      <c r="AA13" s="70"/>
      <c r="AB13" s="70"/>
      <c r="AC13" s="70"/>
      <c r="AD13" s="70"/>
    </row>
    <row r="14" spans="1:30" ht="39.950000000000003" customHeight="1" x14ac:dyDescent="0.25">
      <c r="A14" s="70" t="s">
        <v>245</v>
      </c>
      <c r="B14" s="70" t="s">
        <v>280</v>
      </c>
      <c r="C14" s="70" t="s">
        <v>65</v>
      </c>
      <c r="D14" s="62" t="s">
        <v>281</v>
      </c>
      <c r="E14" s="70" t="s">
        <v>248</v>
      </c>
      <c r="F14" s="70">
        <v>4</v>
      </c>
      <c r="G14" s="70" t="s">
        <v>288</v>
      </c>
      <c r="H14" s="70" t="s">
        <v>289</v>
      </c>
      <c r="I14" s="70"/>
      <c r="J14" s="70"/>
      <c r="K14" s="70">
        <v>9.7000000000000003E-2</v>
      </c>
      <c r="L14" s="70">
        <v>2.2999999999999998</v>
      </c>
      <c r="M14" s="70">
        <v>4.7E-2</v>
      </c>
      <c r="N14" s="70">
        <v>2</v>
      </c>
      <c r="O14" s="70">
        <f t="shared" si="7"/>
        <v>2.0971399999999998E-2</v>
      </c>
      <c r="P14" s="70">
        <v>544</v>
      </c>
      <c r="Q14" s="105">
        <f t="shared" si="8"/>
        <v>11.408441599999998</v>
      </c>
      <c r="R14" s="105">
        <f t="shared" si="2"/>
        <v>1.9806322222222219</v>
      </c>
      <c r="S14" s="105">
        <v>0.33</v>
      </c>
      <c r="T14" s="109" t="s">
        <v>44</v>
      </c>
      <c r="U14" s="111" t="s">
        <v>290</v>
      </c>
      <c r="V14" s="105">
        <f t="shared" si="9"/>
        <v>3.7647857279999997</v>
      </c>
      <c r="W14" s="105">
        <f t="shared" si="4"/>
        <v>0.6536086333333333</v>
      </c>
      <c r="X14" s="70" t="s">
        <v>39</v>
      </c>
      <c r="Y14" s="62" t="s">
        <v>252</v>
      </c>
      <c r="Z14" s="70"/>
      <c r="AA14" s="70"/>
      <c r="AB14" s="70"/>
      <c r="AC14" s="70"/>
      <c r="AD14" s="70"/>
    </row>
    <row r="15" spans="1:30" ht="39.950000000000003" customHeight="1" x14ac:dyDescent="0.25">
      <c r="A15" s="70" t="s">
        <v>245</v>
      </c>
      <c r="B15" s="70" t="s">
        <v>280</v>
      </c>
      <c r="C15" s="70" t="s">
        <v>65</v>
      </c>
      <c r="D15" s="62" t="s">
        <v>281</v>
      </c>
      <c r="E15" s="70" t="s">
        <v>248</v>
      </c>
      <c r="F15" s="70">
        <v>5</v>
      </c>
      <c r="G15" s="70" t="s">
        <v>291</v>
      </c>
      <c r="H15" s="70" t="s">
        <v>292</v>
      </c>
      <c r="I15" s="70"/>
      <c r="J15" s="70"/>
      <c r="K15" s="70">
        <v>9.7000000000000003E-2</v>
      </c>
      <c r="L15" s="70">
        <v>0.21</v>
      </c>
      <c r="M15" s="70">
        <v>4.7E-2</v>
      </c>
      <c r="N15" s="70">
        <v>14</v>
      </c>
      <c r="O15" s="70">
        <f t="shared" si="7"/>
        <v>1.3403459999999999E-2</v>
      </c>
      <c r="P15" s="70">
        <v>544</v>
      </c>
      <c r="Q15" s="105">
        <f t="shared" si="8"/>
        <v>7.2914822399999997</v>
      </c>
      <c r="R15" s="105">
        <f t="shared" si="2"/>
        <v>1.2658823333333333</v>
      </c>
      <c r="S15" s="105">
        <v>0.33</v>
      </c>
      <c r="T15" s="109" t="s">
        <v>44</v>
      </c>
      <c r="U15" s="111" t="s">
        <v>293</v>
      </c>
      <c r="V15" s="105">
        <f t="shared" si="9"/>
        <v>2.4061891391999999</v>
      </c>
      <c r="W15" s="105">
        <f t="shared" si="4"/>
        <v>0.41774116999999999</v>
      </c>
      <c r="X15" s="70" t="s">
        <v>39</v>
      </c>
      <c r="Y15" s="62" t="s">
        <v>252</v>
      </c>
      <c r="Z15" s="70"/>
      <c r="AA15" s="70"/>
      <c r="AB15" s="70"/>
      <c r="AC15" s="70"/>
      <c r="AD15" s="70"/>
    </row>
    <row r="16" spans="1:30" ht="39.950000000000003" customHeight="1" x14ac:dyDescent="0.25">
      <c r="A16" s="70" t="s">
        <v>245</v>
      </c>
      <c r="B16" s="70" t="s">
        <v>280</v>
      </c>
      <c r="C16" s="70" t="s">
        <v>65</v>
      </c>
      <c r="D16" s="62" t="s">
        <v>281</v>
      </c>
      <c r="E16" s="70" t="s">
        <v>248</v>
      </c>
      <c r="F16" s="70">
        <v>6</v>
      </c>
      <c r="G16" s="70" t="s">
        <v>294</v>
      </c>
      <c r="H16" s="70" t="s">
        <v>295</v>
      </c>
      <c r="I16" s="70">
        <v>9.5</v>
      </c>
      <c r="J16" s="70">
        <v>0.105</v>
      </c>
      <c r="K16" s="70"/>
      <c r="L16" s="70">
        <v>2.4</v>
      </c>
      <c r="M16" s="70"/>
      <c r="N16" s="70">
        <v>14</v>
      </c>
      <c r="O16" s="70"/>
      <c r="P16" s="70"/>
      <c r="Q16" s="105">
        <f>I16*J16*L16*N16</f>
        <v>33.515999999999998</v>
      </c>
      <c r="R16" s="105">
        <f t="shared" si="2"/>
        <v>5.8187499999999996</v>
      </c>
      <c r="S16" s="105">
        <v>2.2799999999999998</v>
      </c>
      <c r="T16" s="109" t="s">
        <v>44</v>
      </c>
      <c r="U16" s="111" t="s">
        <v>296</v>
      </c>
      <c r="V16" s="105">
        <f t="shared" si="9"/>
        <v>76.416479999999993</v>
      </c>
      <c r="W16" s="105">
        <f t="shared" si="4"/>
        <v>13.26675</v>
      </c>
      <c r="X16" s="70" t="s">
        <v>39</v>
      </c>
      <c r="Y16" s="62" t="s">
        <v>252</v>
      </c>
      <c r="Z16" s="70"/>
      <c r="AA16" s="70"/>
      <c r="AB16" s="70"/>
      <c r="AC16" s="70"/>
      <c r="AD16" s="70"/>
    </row>
    <row r="17" spans="1:30" ht="39.950000000000003" customHeight="1" x14ac:dyDescent="0.25">
      <c r="A17" s="70" t="s">
        <v>245</v>
      </c>
      <c r="B17" s="70" t="s">
        <v>280</v>
      </c>
      <c r="C17" s="70" t="s">
        <v>65</v>
      </c>
      <c r="D17" s="62" t="s">
        <v>262</v>
      </c>
      <c r="E17" s="70" t="s">
        <v>248</v>
      </c>
      <c r="F17" s="70">
        <v>7</v>
      </c>
      <c r="G17" s="70" t="s">
        <v>263</v>
      </c>
      <c r="H17" s="70" t="s">
        <v>264</v>
      </c>
      <c r="I17" s="70"/>
      <c r="J17" s="70"/>
      <c r="K17" s="70"/>
      <c r="L17" s="70">
        <v>2.4</v>
      </c>
      <c r="M17" s="70"/>
      <c r="N17" s="70">
        <v>7</v>
      </c>
      <c r="O17" s="70"/>
      <c r="P17" s="70"/>
      <c r="Q17" s="105">
        <f t="shared" ref="Q17:Q18" si="10">L17*0.35*N17</f>
        <v>5.88</v>
      </c>
      <c r="R17" s="105">
        <f t="shared" si="2"/>
        <v>1.0208333333333333</v>
      </c>
      <c r="S17" s="105">
        <v>3.2</v>
      </c>
      <c r="T17" s="68" t="s">
        <v>44</v>
      </c>
      <c r="U17" s="106" t="s">
        <v>297</v>
      </c>
      <c r="V17" s="105">
        <f t="shared" si="9"/>
        <v>18.815999999999999</v>
      </c>
      <c r="W17" s="105">
        <f t="shared" si="4"/>
        <v>3.2666666666666666</v>
      </c>
      <c r="X17" s="70" t="s">
        <v>39</v>
      </c>
      <c r="Y17" s="62" t="s">
        <v>252</v>
      </c>
      <c r="Z17" s="70"/>
      <c r="AA17" s="70"/>
      <c r="AB17" s="70"/>
      <c r="AC17" s="70"/>
      <c r="AD17" s="70"/>
    </row>
    <row r="18" spans="1:30" ht="39.950000000000003" customHeight="1" x14ac:dyDescent="0.25">
      <c r="A18" s="70" t="s">
        <v>245</v>
      </c>
      <c r="B18" s="70" t="s">
        <v>280</v>
      </c>
      <c r="C18" s="70" t="s">
        <v>65</v>
      </c>
      <c r="D18" s="62" t="s">
        <v>266</v>
      </c>
      <c r="E18" s="70" t="s">
        <v>248</v>
      </c>
      <c r="F18" s="70">
        <v>8</v>
      </c>
      <c r="G18" s="70" t="s">
        <v>263</v>
      </c>
      <c r="H18" s="70" t="s">
        <v>267</v>
      </c>
      <c r="I18" s="70"/>
      <c r="J18" s="70"/>
      <c r="K18" s="70"/>
      <c r="L18" s="70">
        <v>2.4</v>
      </c>
      <c r="M18" s="70"/>
      <c r="N18" s="70">
        <v>7</v>
      </c>
      <c r="O18" s="70"/>
      <c r="P18" s="70"/>
      <c r="Q18" s="105">
        <f t="shared" si="10"/>
        <v>5.88</v>
      </c>
      <c r="R18" s="105">
        <f t="shared" si="2"/>
        <v>1.0208333333333333</v>
      </c>
      <c r="S18" s="105">
        <v>3.2</v>
      </c>
      <c r="T18" s="68" t="s">
        <v>44</v>
      </c>
      <c r="U18" s="106" t="s">
        <v>298</v>
      </c>
      <c r="V18" s="105">
        <f t="shared" si="9"/>
        <v>18.815999999999999</v>
      </c>
      <c r="W18" s="105">
        <f t="shared" si="4"/>
        <v>3.2666666666666666</v>
      </c>
      <c r="X18" s="70" t="s">
        <v>39</v>
      </c>
      <c r="Y18" s="62" t="s">
        <v>252</v>
      </c>
      <c r="Z18" s="70"/>
      <c r="AA18" s="70"/>
      <c r="AB18" s="70"/>
      <c r="AC18" s="70"/>
      <c r="AD18" s="70"/>
    </row>
    <row r="19" spans="1:30" ht="39.950000000000003" customHeight="1" x14ac:dyDescent="0.25">
      <c r="A19" s="70" t="s">
        <v>245</v>
      </c>
      <c r="B19" s="70" t="s">
        <v>280</v>
      </c>
      <c r="C19" s="70" t="s">
        <v>65</v>
      </c>
      <c r="D19" s="62" t="s">
        <v>269</v>
      </c>
      <c r="E19" s="70" t="s">
        <v>248</v>
      </c>
      <c r="F19" s="70">
        <v>9</v>
      </c>
      <c r="G19" s="70" t="s">
        <v>270</v>
      </c>
      <c r="H19" s="70" t="s">
        <v>271</v>
      </c>
      <c r="I19" s="70"/>
      <c r="J19" s="70"/>
      <c r="K19" s="70">
        <v>2.4</v>
      </c>
      <c r="L19" s="70">
        <v>2.4</v>
      </c>
      <c r="M19" s="70">
        <v>2.5000000000000001E-2</v>
      </c>
      <c r="N19" s="70">
        <v>1</v>
      </c>
      <c r="O19" s="70">
        <f>K19*L19*M19*N19</f>
        <v>0.14399999999999999</v>
      </c>
      <c r="P19" s="70">
        <v>800</v>
      </c>
      <c r="Q19" s="105">
        <f>O19*P19</f>
        <v>115.19999999999999</v>
      </c>
      <c r="R19" s="105">
        <f t="shared" si="2"/>
        <v>20</v>
      </c>
      <c r="S19" s="64">
        <v>2.4</v>
      </c>
      <c r="T19" s="66" t="s">
        <v>34</v>
      </c>
      <c r="U19" s="67" t="s">
        <v>299</v>
      </c>
      <c r="V19" s="105">
        <f>S19*5.76*2</f>
        <v>27.648</v>
      </c>
      <c r="W19" s="105">
        <f t="shared" si="4"/>
        <v>4.8</v>
      </c>
      <c r="X19" s="70" t="s">
        <v>39</v>
      </c>
      <c r="Y19" s="62" t="s">
        <v>252</v>
      </c>
      <c r="Z19" s="70"/>
      <c r="AA19" s="70"/>
      <c r="AB19" s="70"/>
      <c r="AC19" s="70"/>
      <c r="AD19" s="70"/>
    </row>
    <row r="20" spans="1:30" ht="39.950000000000003" customHeight="1" x14ac:dyDescent="0.25">
      <c r="A20" s="70" t="s">
        <v>245</v>
      </c>
      <c r="B20" s="70" t="s">
        <v>280</v>
      </c>
      <c r="C20" s="70" t="s">
        <v>65</v>
      </c>
      <c r="D20" s="62" t="s">
        <v>273</v>
      </c>
      <c r="E20" s="70" t="s">
        <v>248</v>
      </c>
      <c r="F20" s="70">
        <v>10</v>
      </c>
      <c r="G20" s="70" t="s">
        <v>274</v>
      </c>
      <c r="H20" s="70" t="s">
        <v>264</v>
      </c>
      <c r="I20" s="70"/>
      <c r="J20" s="70"/>
      <c r="K20" s="70"/>
      <c r="L20" s="70">
        <v>2.4</v>
      </c>
      <c r="M20" s="70"/>
      <c r="N20" s="70">
        <v>7</v>
      </c>
      <c r="O20" s="70"/>
      <c r="P20" s="70"/>
      <c r="Q20" s="105">
        <f>L20*0.35*N20</f>
        <v>5.88</v>
      </c>
      <c r="R20" s="105">
        <f t="shared" si="2"/>
        <v>1.0208333333333333</v>
      </c>
      <c r="S20" s="105">
        <v>3.2</v>
      </c>
      <c r="T20" s="68" t="s">
        <v>44</v>
      </c>
      <c r="U20" s="106" t="s">
        <v>300</v>
      </c>
      <c r="V20" s="105">
        <f>Q20*S20</f>
        <v>18.815999999999999</v>
      </c>
      <c r="W20" s="105">
        <f t="shared" si="4"/>
        <v>3.2666666666666666</v>
      </c>
      <c r="X20" s="70" t="s">
        <v>39</v>
      </c>
      <c r="Y20" s="62" t="s">
        <v>252</v>
      </c>
      <c r="Z20" s="70"/>
      <c r="AA20" s="70"/>
      <c r="AB20" s="70"/>
      <c r="AC20" s="70"/>
      <c r="AD20" s="70"/>
    </row>
    <row r="21" spans="1:30" ht="39.950000000000003" customHeight="1" x14ac:dyDescent="0.25">
      <c r="A21" s="70" t="s">
        <v>245</v>
      </c>
      <c r="B21" s="70" t="s">
        <v>280</v>
      </c>
      <c r="C21" s="70" t="s">
        <v>65</v>
      </c>
      <c r="D21" s="62" t="s">
        <v>276</v>
      </c>
      <c r="E21" s="70" t="s">
        <v>248</v>
      </c>
      <c r="F21" s="70">
        <v>11</v>
      </c>
      <c r="G21" s="70" t="s">
        <v>301</v>
      </c>
      <c r="H21" s="70" t="s">
        <v>278</v>
      </c>
      <c r="I21" s="112"/>
      <c r="J21" s="112"/>
      <c r="K21" s="70">
        <v>2.4</v>
      </c>
      <c r="L21" s="70">
        <v>2.4</v>
      </c>
      <c r="M21" s="70">
        <v>1.2500000000000001E-2</v>
      </c>
      <c r="N21" s="70">
        <v>1</v>
      </c>
      <c r="O21" s="70">
        <f>K21*L21*M21*N21</f>
        <v>7.1999999999999995E-2</v>
      </c>
      <c r="P21" s="70">
        <v>800</v>
      </c>
      <c r="Q21" s="105">
        <f>O21*P21</f>
        <v>57.599999999999994</v>
      </c>
      <c r="R21" s="105">
        <f t="shared" si="2"/>
        <v>10</v>
      </c>
      <c r="S21" s="64">
        <v>2.4</v>
      </c>
      <c r="T21" s="66" t="s">
        <v>34</v>
      </c>
      <c r="U21" s="67" t="s">
        <v>302</v>
      </c>
      <c r="V21" s="105">
        <f>S21*5.76</f>
        <v>13.824</v>
      </c>
      <c r="W21" s="105">
        <f t="shared" si="4"/>
        <v>2.4</v>
      </c>
      <c r="X21" s="70" t="s">
        <v>39</v>
      </c>
      <c r="Y21" s="62" t="s">
        <v>252</v>
      </c>
      <c r="Z21" s="112"/>
      <c r="AA21" s="112"/>
      <c r="AB21" s="112"/>
      <c r="AC21" s="112"/>
      <c r="AD21" s="112"/>
    </row>
    <row r="22" spans="1:30" ht="39.950000000000003" customHeight="1" x14ac:dyDescent="0.25">
      <c r="A22" s="113" t="s">
        <v>245</v>
      </c>
      <c r="B22" s="113" t="s">
        <v>303</v>
      </c>
      <c r="C22" s="113" t="s">
        <v>30</v>
      </c>
      <c r="D22" s="5" t="s">
        <v>304</v>
      </c>
      <c r="E22" s="113" t="s">
        <v>248</v>
      </c>
      <c r="F22" s="113">
        <v>1</v>
      </c>
      <c r="G22" s="113" t="s">
        <v>305</v>
      </c>
      <c r="H22" s="113" t="s">
        <v>306</v>
      </c>
      <c r="I22" s="113"/>
      <c r="J22" s="113"/>
      <c r="K22" s="113">
        <v>2.4</v>
      </c>
      <c r="L22" s="113">
        <v>2.4</v>
      </c>
      <c r="M22" s="113">
        <v>1.7999999999999999E-2</v>
      </c>
      <c r="N22" s="113">
        <v>1</v>
      </c>
      <c r="O22" s="113">
        <f>PRODUCT(K22,L22,M22)</f>
        <v>0.10367999999999999</v>
      </c>
      <c r="P22" s="113">
        <v>600</v>
      </c>
      <c r="Q22" s="114">
        <f t="shared" ref="Q22:Q27" si="11">PRODUCT(O22,P22)</f>
        <v>62.207999999999998</v>
      </c>
      <c r="R22" s="114">
        <f t="shared" si="2"/>
        <v>10.8</v>
      </c>
      <c r="S22" s="114">
        <v>0.45500000000000002</v>
      </c>
      <c r="T22" s="115" t="s">
        <v>44</v>
      </c>
      <c r="U22" s="116" t="s">
        <v>307</v>
      </c>
      <c r="V22" s="114">
        <f t="shared" ref="V22:V29" si="12">Q22*S22</f>
        <v>28.304639999999999</v>
      </c>
      <c r="W22" s="114">
        <f t="shared" si="4"/>
        <v>4.9139999999999997</v>
      </c>
      <c r="X22" s="113" t="s">
        <v>39</v>
      </c>
      <c r="Y22" s="5" t="s">
        <v>308</v>
      </c>
      <c r="Z22" s="113"/>
      <c r="AA22" s="113"/>
      <c r="AB22" s="113"/>
      <c r="AC22" s="113"/>
      <c r="AD22" s="113"/>
    </row>
    <row r="23" spans="1:30" ht="39.950000000000003" customHeight="1" x14ac:dyDescent="0.25">
      <c r="A23" s="113" t="s">
        <v>245</v>
      </c>
      <c r="B23" s="113" t="s">
        <v>303</v>
      </c>
      <c r="C23" s="113" t="s">
        <v>30</v>
      </c>
      <c r="D23" s="5" t="s">
        <v>304</v>
      </c>
      <c r="E23" s="113" t="s">
        <v>248</v>
      </c>
      <c r="F23" s="113">
        <v>2</v>
      </c>
      <c r="G23" s="5" t="s">
        <v>309</v>
      </c>
      <c r="H23" s="5" t="s">
        <v>310</v>
      </c>
      <c r="I23" s="113"/>
      <c r="J23" s="113"/>
      <c r="K23" s="113">
        <v>0.38</v>
      </c>
      <c r="L23" s="113">
        <v>2.4</v>
      </c>
      <c r="M23" s="113">
        <v>1.5E-3</v>
      </c>
      <c r="N23" s="113">
        <v>7</v>
      </c>
      <c r="O23" s="113">
        <f t="shared" ref="O23:O27" si="13">PRODUCT(K23,L23,M23,N23)</f>
        <v>9.5759999999999994E-3</v>
      </c>
      <c r="P23" s="113">
        <v>7800</v>
      </c>
      <c r="Q23" s="114">
        <f t="shared" si="11"/>
        <v>74.692799999999991</v>
      </c>
      <c r="R23" s="114">
        <f t="shared" si="2"/>
        <v>12.967499999999999</v>
      </c>
      <c r="S23" s="114">
        <v>2.42</v>
      </c>
      <c r="T23" s="115" t="s">
        <v>44</v>
      </c>
      <c r="U23" s="10" t="s">
        <v>311</v>
      </c>
      <c r="V23" s="114">
        <f t="shared" si="12"/>
        <v>180.75657599999997</v>
      </c>
      <c r="W23" s="114">
        <f t="shared" si="4"/>
        <v>31.381349999999994</v>
      </c>
      <c r="X23" s="113" t="s">
        <v>39</v>
      </c>
      <c r="Y23" s="5" t="s">
        <v>308</v>
      </c>
      <c r="Z23" s="113"/>
      <c r="AA23" s="113"/>
      <c r="AB23" s="113"/>
      <c r="AC23" s="113"/>
      <c r="AD23" s="113"/>
    </row>
    <row r="24" spans="1:30" ht="39.950000000000003" customHeight="1" x14ac:dyDescent="0.25">
      <c r="A24" s="113" t="s">
        <v>245</v>
      </c>
      <c r="B24" s="113" t="s">
        <v>303</v>
      </c>
      <c r="C24" s="113" t="s">
        <v>30</v>
      </c>
      <c r="D24" s="5" t="s">
        <v>304</v>
      </c>
      <c r="E24" s="113" t="s">
        <v>248</v>
      </c>
      <c r="F24" s="113">
        <v>3</v>
      </c>
      <c r="G24" s="5" t="s">
        <v>312</v>
      </c>
      <c r="H24" s="5" t="s">
        <v>313</v>
      </c>
      <c r="I24" s="113"/>
      <c r="J24" s="113"/>
      <c r="K24" s="113">
        <v>0.37</v>
      </c>
      <c r="L24" s="113">
        <v>2.4</v>
      </c>
      <c r="M24" s="113">
        <v>1.5E-3</v>
      </c>
      <c r="N24" s="113">
        <v>2</v>
      </c>
      <c r="O24" s="113">
        <f t="shared" si="13"/>
        <v>2.6640000000000001E-3</v>
      </c>
      <c r="P24" s="113">
        <v>7800</v>
      </c>
      <c r="Q24" s="114">
        <f t="shared" si="11"/>
        <v>20.779199999999999</v>
      </c>
      <c r="R24" s="114">
        <f t="shared" si="2"/>
        <v>3.6074999999999999</v>
      </c>
      <c r="S24" s="114">
        <v>2.42</v>
      </c>
      <c r="T24" s="115" t="s">
        <v>44</v>
      </c>
      <c r="U24" s="10" t="s">
        <v>314</v>
      </c>
      <c r="V24" s="114">
        <f t="shared" si="12"/>
        <v>50.285663999999997</v>
      </c>
      <c r="W24" s="114">
        <f t="shared" si="4"/>
        <v>8.7301500000000001</v>
      </c>
      <c r="X24" s="113" t="s">
        <v>39</v>
      </c>
      <c r="Y24" s="5" t="s">
        <v>308</v>
      </c>
      <c r="Z24" s="113"/>
      <c r="AA24" s="113"/>
      <c r="AB24" s="113"/>
      <c r="AC24" s="113"/>
      <c r="AD24" s="113"/>
    </row>
    <row r="25" spans="1:30" ht="39.950000000000003" customHeight="1" x14ac:dyDescent="0.25">
      <c r="A25" s="113" t="s">
        <v>245</v>
      </c>
      <c r="B25" s="113" t="s">
        <v>303</v>
      </c>
      <c r="C25" s="113" t="s">
        <v>30</v>
      </c>
      <c r="D25" s="5" t="s">
        <v>304</v>
      </c>
      <c r="E25" s="113" t="s">
        <v>248</v>
      </c>
      <c r="F25" s="113">
        <v>4</v>
      </c>
      <c r="G25" s="113" t="s">
        <v>315</v>
      </c>
      <c r="H25" s="113" t="s">
        <v>316</v>
      </c>
      <c r="I25" s="113"/>
      <c r="J25" s="113"/>
      <c r="K25" s="113">
        <v>0.38</v>
      </c>
      <c r="L25" s="113">
        <v>2.4</v>
      </c>
      <c r="M25" s="113">
        <v>1.5E-3</v>
      </c>
      <c r="N25" s="113">
        <v>1</v>
      </c>
      <c r="O25" s="113">
        <f t="shared" si="13"/>
        <v>1.3679999999999999E-3</v>
      </c>
      <c r="P25" s="113">
        <v>7800</v>
      </c>
      <c r="Q25" s="114">
        <f t="shared" si="11"/>
        <v>10.670399999999999</v>
      </c>
      <c r="R25" s="114">
        <f t="shared" si="2"/>
        <v>1.8524999999999998</v>
      </c>
      <c r="S25" s="114">
        <v>2.42</v>
      </c>
      <c r="T25" s="115" t="s">
        <v>44</v>
      </c>
      <c r="U25" s="10" t="s">
        <v>317</v>
      </c>
      <c r="V25" s="114">
        <f t="shared" si="12"/>
        <v>25.822367999999997</v>
      </c>
      <c r="W25" s="114">
        <f t="shared" si="4"/>
        <v>4.4830499999999995</v>
      </c>
      <c r="X25" s="113" t="s">
        <v>39</v>
      </c>
      <c r="Y25" s="5" t="s">
        <v>308</v>
      </c>
      <c r="Z25" s="113"/>
      <c r="AA25" s="113"/>
      <c r="AB25" s="113"/>
      <c r="AC25" s="113"/>
      <c r="AD25" s="113"/>
    </row>
    <row r="26" spans="1:30" ht="39.950000000000003" customHeight="1" x14ac:dyDescent="0.25">
      <c r="A26" s="113" t="s">
        <v>245</v>
      </c>
      <c r="B26" s="113" t="s">
        <v>303</v>
      </c>
      <c r="C26" s="113" t="s">
        <v>30</v>
      </c>
      <c r="D26" s="5" t="s">
        <v>304</v>
      </c>
      <c r="E26" s="113" t="s">
        <v>248</v>
      </c>
      <c r="F26" s="113">
        <v>5</v>
      </c>
      <c r="G26" s="113" t="s">
        <v>318</v>
      </c>
      <c r="H26" s="113" t="s">
        <v>319</v>
      </c>
      <c r="I26" s="113"/>
      <c r="J26" s="113"/>
      <c r="K26" s="113">
        <v>0.435</v>
      </c>
      <c r="L26" s="113">
        <v>2.4</v>
      </c>
      <c r="M26" s="113">
        <v>2E-3</v>
      </c>
      <c r="N26" s="113">
        <v>2</v>
      </c>
      <c r="O26" s="113">
        <f t="shared" si="13"/>
        <v>4.176E-3</v>
      </c>
      <c r="P26" s="113">
        <v>7800</v>
      </c>
      <c r="Q26" s="114">
        <f t="shared" si="11"/>
        <v>32.572800000000001</v>
      </c>
      <c r="R26" s="114">
        <f t="shared" si="2"/>
        <v>5.6550000000000002</v>
      </c>
      <c r="S26" s="114">
        <v>2.42</v>
      </c>
      <c r="T26" s="115" t="s">
        <v>44</v>
      </c>
      <c r="U26" s="10" t="s">
        <v>320</v>
      </c>
      <c r="V26" s="114">
        <f t="shared" si="12"/>
        <v>78.826176000000004</v>
      </c>
      <c r="W26" s="114">
        <f t="shared" si="4"/>
        <v>13.685100000000002</v>
      </c>
      <c r="X26" s="113" t="s">
        <v>39</v>
      </c>
      <c r="Y26" s="5" t="s">
        <v>308</v>
      </c>
      <c r="Z26" s="113"/>
      <c r="AA26" s="113"/>
      <c r="AB26" s="113"/>
      <c r="AC26" s="113"/>
      <c r="AD26" s="113"/>
    </row>
    <row r="27" spans="1:30" ht="39.950000000000003" customHeight="1" x14ac:dyDescent="0.25">
      <c r="A27" s="113" t="s">
        <v>245</v>
      </c>
      <c r="B27" s="113" t="s">
        <v>303</v>
      </c>
      <c r="C27" s="113" t="s">
        <v>30</v>
      </c>
      <c r="D27" s="5" t="s">
        <v>304</v>
      </c>
      <c r="E27" s="113" t="s">
        <v>248</v>
      </c>
      <c r="F27" s="113">
        <v>6</v>
      </c>
      <c r="G27" s="113" t="s">
        <v>321</v>
      </c>
      <c r="H27" s="113" t="s">
        <v>322</v>
      </c>
      <c r="I27" s="113"/>
      <c r="J27" s="113"/>
      <c r="K27" s="113">
        <v>2.4</v>
      </c>
      <c r="L27" s="113">
        <v>2.4</v>
      </c>
      <c r="M27" s="113">
        <v>0.1</v>
      </c>
      <c r="N27" s="113">
        <v>1</v>
      </c>
      <c r="O27" s="113">
        <f t="shared" si="13"/>
        <v>0.57599999999999996</v>
      </c>
      <c r="P27" s="113">
        <v>22</v>
      </c>
      <c r="Q27" s="114">
        <f t="shared" si="11"/>
        <v>12.671999999999999</v>
      </c>
      <c r="R27" s="114">
        <f t="shared" si="2"/>
        <v>2.1999999999999997</v>
      </c>
      <c r="S27" s="114">
        <v>1.1499999999999999</v>
      </c>
      <c r="T27" s="115" t="s">
        <v>44</v>
      </c>
      <c r="U27" s="117" t="s">
        <v>323</v>
      </c>
      <c r="V27" s="114">
        <f t="shared" si="12"/>
        <v>14.572799999999997</v>
      </c>
      <c r="W27" s="114">
        <f t="shared" si="4"/>
        <v>2.5299999999999998</v>
      </c>
      <c r="X27" s="113" t="s">
        <v>39</v>
      </c>
      <c r="Y27" s="5" t="s">
        <v>308</v>
      </c>
      <c r="Z27" s="113"/>
      <c r="AA27" s="113"/>
      <c r="AB27" s="113"/>
      <c r="AC27" s="113"/>
      <c r="AD27" s="113"/>
    </row>
    <row r="28" spans="1:30" ht="39.950000000000003" customHeight="1" x14ac:dyDescent="0.25">
      <c r="A28" s="113" t="s">
        <v>245</v>
      </c>
      <c r="B28" s="113" t="s">
        <v>303</v>
      </c>
      <c r="C28" s="113" t="s">
        <v>30</v>
      </c>
      <c r="D28" s="5" t="s">
        <v>304</v>
      </c>
      <c r="E28" s="113" t="s">
        <v>248</v>
      </c>
      <c r="F28" s="113">
        <v>7</v>
      </c>
      <c r="G28" s="113" t="s">
        <v>263</v>
      </c>
      <c r="H28" s="113" t="s">
        <v>264</v>
      </c>
      <c r="I28" s="113"/>
      <c r="J28" s="113"/>
      <c r="K28" s="113"/>
      <c r="L28" s="113">
        <v>2.4</v>
      </c>
      <c r="M28" s="113"/>
      <c r="N28" s="113">
        <v>7</v>
      </c>
      <c r="O28" s="113"/>
      <c r="P28" s="113"/>
      <c r="Q28" s="114">
        <f t="shared" ref="Q28:Q29" si="14">L28*0.35*N28</f>
        <v>5.88</v>
      </c>
      <c r="R28" s="114">
        <f t="shared" si="2"/>
        <v>1.0208333333333333</v>
      </c>
      <c r="S28" s="114">
        <v>3.2</v>
      </c>
      <c r="T28" s="11" t="s">
        <v>44</v>
      </c>
      <c r="U28" s="116" t="s">
        <v>324</v>
      </c>
      <c r="V28" s="114">
        <f t="shared" si="12"/>
        <v>18.815999999999999</v>
      </c>
      <c r="W28" s="114">
        <f t="shared" si="4"/>
        <v>3.2666666666666666</v>
      </c>
      <c r="X28" s="113" t="s">
        <v>39</v>
      </c>
      <c r="Y28" s="5" t="s">
        <v>308</v>
      </c>
      <c r="Z28" s="113"/>
      <c r="AA28" s="113"/>
      <c r="AB28" s="113"/>
      <c r="AC28" s="113"/>
      <c r="AD28" s="113"/>
    </row>
    <row r="29" spans="1:30" ht="39.950000000000003" customHeight="1" x14ac:dyDescent="0.25">
      <c r="A29" s="113" t="s">
        <v>245</v>
      </c>
      <c r="B29" s="113" t="s">
        <v>303</v>
      </c>
      <c r="C29" s="113" t="s">
        <v>30</v>
      </c>
      <c r="D29" s="5" t="s">
        <v>304</v>
      </c>
      <c r="E29" s="113" t="s">
        <v>248</v>
      </c>
      <c r="F29" s="113">
        <v>8</v>
      </c>
      <c r="G29" s="113" t="s">
        <v>263</v>
      </c>
      <c r="H29" s="113" t="s">
        <v>267</v>
      </c>
      <c r="I29" s="113"/>
      <c r="J29" s="113"/>
      <c r="K29" s="113"/>
      <c r="L29" s="113">
        <v>2.4</v>
      </c>
      <c r="M29" s="113"/>
      <c r="N29" s="113">
        <v>7</v>
      </c>
      <c r="O29" s="113"/>
      <c r="P29" s="113"/>
      <c r="Q29" s="114">
        <f t="shared" si="14"/>
        <v>5.88</v>
      </c>
      <c r="R29" s="114">
        <f t="shared" si="2"/>
        <v>1.0208333333333333</v>
      </c>
      <c r="S29" s="114">
        <v>3.2</v>
      </c>
      <c r="T29" s="11" t="s">
        <v>44</v>
      </c>
      <c r="U29" s="116" t="s">
        <v>325</v>
      </c>
      <c r="V29" s="114">
        <f t="shared" si="12"/>
        <v>18.815999999999999</v>
      </c>
      <c r="W29" s="114">
        <f t="shared" si="4"/>
        <v>3.2666666666666666</v>
      </c>
      <c r="X29" s="113" t="s">
        <v>39</v>
      </c>
      <c r="Y29" s="5" t="s">
        <v>308</v>
      </c>
      <c r="Z29" s="113"/>
      <c r="AA29" s="113"/>
      <c r="AB29" s="113"/>
      <c r="AC29" s="113"/>
      <c r="AD29" s="113"/>
    </row>
    <row r="30" spans="1:30" ht="39.950000000000003" customHeight="1" x14ac:dyDescent="0.25">
      <c r="A30" s="113" t="s">
        <v>245</v>
      </c>
      <c r="B30" s="113" t="s">
        <v>303</v>
      </c>
      <c r="C30" s="113" t="s">
        <v>30</v>
      </c>
      <c r="D30" s="5" t="s">
        <v>304</v>
      </c>
      <c r="E30" s="113" t="s">
        <v>248</v>
      </c>
      <c r="F30" s="113">
        <v>9</v>
      </c>
      <c r="G30" s="113" t="s">
        <v>270</v>
      </c>
      <c r="H30" s="113" t="s">
        <v>271</v>
      </c>
      <c r="I30" s="113"/>
      <c r="J30" s="113"/>
      <c r="K30" s="113">
        <v>2.4</v>
      </c>
      <c r="L30" s="113">
        <v>2.4</v>
      </c>
      <c r="M30" s="113">
        <v>2.5000000000000001E-2</v>
      </c>
      <c r="N30" s="113">
        <v>1</v>
      </c>
      <c r="O30" s="113">
        <f>K30*L30*M30*N30</f>
        <v>0.14399999999999999</v>
      </c>
      <c r="P30" s="113">
        <v>800</v>
      </c>
      <c r="Q30" s="114">
        <f>O30*P30</f>
        <v>115.19999999999999</v>
      </c>
      <c r="R30" s="114">
        <f t="shared" si="2"/>
        <v>20</v>
      </c>
      <c r="S30" s="6">
        <v>2.4</v>
      </c>
      <c r="T30" s="9" t="s">
        <v>34</v>
      </c>
      <c r="U30" s="10" t="s">
        <v>326</v>
      </c>
      <c r="V30" s="114">
        <f>S30*5.76*2</f>
        <v>27.648</v>
      </c>
      <c r="W30" s="114">
        <f t="shared" si="4"/>
        <v>4.8</v>
      </c>
      <c r="X30" s="113" t="s">
        <v>39</v>
      </c>
      <c r="Y30" s="5" t="s">
        <v>308</v>
      </c>
      <c r="Z30" s="113"/>
      <c r="AA30" s="113"/>
      <c r="AB30" s="113"/>
      <c r="AC30" s="113"/>
      <c r="AD30" s="113"/>
    </row>
    <row r="31" spans="1:30" ht="39.950000000000003" customHeight="1" x14ac:dyDescent="0.25">
      <c r="A31" s="113" t="s">
        <v>245</v>
      </c>
      <c r="B31" s="113" t="s">
        <v>303</v>
      </c>
      <c r="C31" s="113" t="s">
        <v>30</v>
      </c>
      <c r="D31" s="5" t="s">
        <v>304</v>
      </c>
      <c r="E31" s="113" t="s">
        <v>248</v>
      </c>
      <c r="F31" s="113">
        <v>10</v>
      </c>
      <c r="G31" s="113" t="s">
        <v>274</v>
      </c>
      <c r="H31" s="113" t="s">
        <v>264</v>
      </c>
      <c r="I31" s="113"/>
      <c r="J31" s="113"/>
      <c r="K31" s="113"/>
      <c r="L31" s="113">
        <v>2.4</v>
      </c>
      <c r="M31" s="113"/>
      <c r="N31" s="113">
        <v>7</v>
      </c>
      <c r="O31" s="113"/>
      <c r="P31" s="113"/>
      <c r="Q31" s="114">
        <f>L31*0.35*N31</f>
        <v>5.88</v>
      </c>
      <c r="R31" s="114">
        <f t="shared" si="2"/>
        <v>1.0208333333333333</v>
      </c>
      <c r="S31" s="114">
        <v>3.2</v>
      </c>
      <c r="T31" s="11" t="s">
        <v>44</v>
      </c>
      <c r="U31" s="116" t="s">
        <v>327</v>
      </c>
      <c r="V31" s="114">
        <f>Q31*S31</f>
        <v>18.815999999999999</v>
      </c>
      <c r="W31" s="114">
        <f t="shared" si="4"/>
        <v>3.2666666666666666</v>
      </c>
      <c r="X31" s="113" t="s">
        <v>39</v>
      </c>
      <c r="Y31" s="5" t="s">
        <v>252</v>
      </c>
      <c r="Z31" s="113"/>
      <c r="AA31" s="113"/>
      <c r="AB31" s="113"/>
      <c r="AC31" s="113"/>
      <c r="AD31" s="113"/>
    </row>
    <row r="32" spans="1:30" ht="39.950000000000003" customHeight="1" x14ac:dyDescent="0.25">
      <c r="A32" s="113" t="s">
        <v>245</v>
      </c>
      <c r="B32" s="113" t="s">
        <v>303</v>
      </c>
      <c r="C32" s="113" t="s">
        <v>30</v>
      </c>
      <c r="D32" s="5" t="s">
        <v>304</v>
      </c>
      <c r="E32" s="113" t="s">
        <v>248</v>
      </c>
      <c r="F32" s="113">
        <v>11</v>
      </c>
      <c r="G32" s="113" t="s">
        <v>301</v>
      </c>
      <c r="H32" s="113" t="s">
        <v>278</v>
      </c>
      <c r="I32" s="118"/>
      <c r="J32" s="118"/>
      <c r="K32" s="113">
        <v>2.4</v>
      </c>
      <c r="L32" s="113">
        <v>2.4</v>
      </c>
      <c r="M32" s="113">
        <v>1.2500000000000001E-2</v>
      </c>
      <c r="N32" s="113">
        <v>1</v>
      </c>
      <c r="O32" s="113">
        <f>K32*L32*M32*N32</f>
        <v>7.1999999999999995E-2</v>
      </c>
      <c r="P32" s="113">
        <v>800</v>
      </c>
      <c r="Q32" s="114">
        <f t="shared" ref="Q32:Q33" si="15">O32*P32</f>
        <v>57.599999999999994</v>
      </c>
      <c r="R32" s="114">
        <f t="shared" si="2"/>
        <v>10</v>
      </c>
      <c r="S32" s="6">
        <v>2.4</v>
      </c>
      <c r="T32" s="9" t="s">
        <v>34</v>
      </c>
      <c r="U32" s="10" t="s">
        <v>328</v>
      </c>
      <c r="V32" s="114">
        <f>S32*5.76</f>
        <v>13.824</v>
      </c>
      <c r="W32" s="114">
        <f t="shared" si="4"/>
        <v>2.4</v>
      </c>
      <c r="X32" s="113" t="s">
        <v>39</v>
      </c>
      <c r="Y32" s="5" t="s">
        <v>252</v>
      </c>
      <c r="Z32" s="118"/>
      <c r="AA32" s="118"/>
      <c r="AB32" s="118"/>
      <c r="AC32" s="118"/>
      <c r="AD32" s="118"/>
    </row>
    <row r="33" spans="1:30" ht="39.950000000000003" customHeight="1" x14ac:dyDescent="0.25">
      <c r="A33" s="119" t="s">
        <v>245</v>
      </c>
      <c r="B33" s="119" t="s">
        <v>329</v>
      </c>
      <c r="C33" s="119" t="s">
        <v>30</v>
      </c>
      <c r="D33" s="119" t="s">
        <v>330</v>
      </c>
      <c r="E33" s="119" t="s">
        <v>248</v>
      </c>
      <c r="F33" s="119">
        <v>1</v>
      </c>
      <c r="G33" s="119" t="s">
        <v>331</v>
      </c>
      <c r="H33" s="119" t="s">
        <v>332</v>
      </c>
      <c r="I33" s="119"/>
      <c r="J33" s="119"/>
      <c r="K33" s="119">
        <v>2.4</v>
      </c>
      <c r="L33" s="119">
        <v>2.4</v>
      </c>
      <c r="M33" s="119">
        <v>0.15</v>
      </c>
      <c r="N33" s="119">
        <v>1</v>
      </c>
      <c r="O33" s="119">
        <f>PRODUCT(K33,L33,0.131)</f>
        <v>0.75456000000000001</v>
      </c>
      <c r="P33" s="119">
        <v>2400</v>
      </c>
      <c r="Q33" s="120">
        <f t="shared" si="15"/>
        <v>1810.944</v>
      </c>
      <c r="R33" s="120">
        <f t="shared" si="2"/>
        <v>314.39999999999998</v>
      </c>
      <c r="S33" s="120">
        <v>0.115</v>
      </c>
      <c r="T33" s="121" t="s">
        <v>44</v>
      </c>
      <c r="U33" s="122" t="s">
        <v>333</v>
      </c>
      <c r="V33" s="120">
        <f t="shared" ref="V33:V36" si="16">Q33*S33</f>
        <v>208.25856000000002</v>
      </c>
      <c r="W33" s="120">
        <f t="shared" si="4"/>
        <v>36.156000000000006</v>
      </c>
      <c r="X33" s="119" t="s">
        <v>334</v>
      </c>
      <c r="Y33" s="53" t="s">
        <v>308</v>
      </c>
      <c r="Z33" s="119"/>
      <c r="AA33" s="119"/>
      <c r="AB33" s="119"/>
      <c r="AC33" s="119"/>
      <c r="AD33" s="119"/>
    </row>
    <row r="34" spans="1:30" ht="39.950000000000003" customHeight="1" x14ac:dyDescent="0.25">
      <c r="A34" s="119" t="s">
        <v>245</v>
      </c>
      <c r="B34" s="119" t="s">
        <v>329</v>
      </c>
      <c r="C34" s="119" t="s">
        <v>30</v>
      </c>
      <c r="D34" s="119" t="s">
        <v>330</v>
      </c>
      <c r="E34" s="119" t="s">
        <v>248</v>
      </c>
      <c r="F34" s="119">
        <v>2</v>
      </c>
      <c r="G34" s="119" t="s">
        <v>335</v>
      </c>
      <c r="H34" s="119" t="s">
        <v>336</v>
      </c>
      <c r="I34" s="119"/>
      <c r="J34" s="119"/>
      <c r="K34" s="119"/>
      <c r="L34" s="119"/>
      <c r="M34" s="119"/>
      <c r="N34" s="119"/>
      <c r="O34" s="119"/>
      <c r="P34" s="119"/>
      <c r="Q34" s="120">
        <f>PRODUCT(6.16, 5.76)</f>
        <v>35.4816</v>
      </c>
      <c r="R34" s="120">
        <f t="shared" si="2"/>
        <v>6.16</v>
      </c>
      <c r="S34" s="120">
        <v>0.73</v>
      </c>
      <c r="T34" s="121" t="s">
        <v>44</v>
      </c>
      <c r="U34" s="123" t="s">
        <v>337</v>
      </c>
      <c r="V34" s="120">
        <f t="shared" si="16"/>
        <v>25.901568000000001</v>
      </c>
      <c r="W34" s="120">
        <f t="shared" si="4"/>
        <v>4.4968000000000004</v>
      </c>
      <c r="X34" s="119" t="s">
        <v>334</v>
      </c>
      <c r="Y34" s="53" t="s">
        <v>308</v>
      </c>
      <c r="Z34" s="119"/>
      <c r="AA34" s="119"/>
      <c r="AB34" s="119"/>
      <c r="AC34" s="119"/>
      <c r="AD34" s="119"/>
    </row>
    <row r="35" spans="1:30" ht="39.950000000000003" customHeight="1" x14ac:dyDescent="0.25">
      <c r="A35" s="119" t="s">
        <v>245</v>
      </c>
      <c r="B35" s="119" t="s">
        <v>329</v>
      </c>
      <c r="C35" s="119" t="s">
        <v>30</v>
      </c>
      <c r="D35" s="119" t="s">
        <v>330</v>
      </c>
      <c r="E35" s="119" t="s">
        <v>248</v>
      </c>
      <c r="F35" s="119">
        <v>3</v>
      </c>
      <c r="G35" s="119" t="s">
        <v>338</v>
      </c>
      <c r="H35" s="119" t="s">
        <v>339</v>
      </c>
      <c r="I35" s="119"/>
      <c r="J35" s="119"/>
      <c r="K35" s="119">
        <v>0.15</v>
      </c>
      <c r="L35" s="119">
        <v>2.4</v>
      </c>
      <c r="M35" s="119">
        <v>1.1999999999999999E-3</v>
      </c>
      <c r="N35" s="119">
        <v>2</v>
      </c>
      <c r="O35" s="119">
        <f t="shared" ref="O35:O36" si="17">PRODUCT(K35,L35,M35,N35)</f>
        <v>8.6399999999999986E-4</v>
      </c>
      <c r="P35" s="119">
        <v>7800</v>
      </c>
      <c r="Q35" s="120">
        <f t="shared" ref="Q35:Q36" si="18">O35*P35</f>
        <v>6.7391999999999985</v>
      </c>
      <c r="R35" s="120">
        <f t="shared" si="2"/>
        <v>1.1699999999999997</v>
      </c>
      <c r="S35" s="120">
        <v>2.42</v>
      </c>
      <c r="T35" s="121" t="s">
        <v>44</v>
      </c>
      <c r="U35" s="58" t="s">
        <v>340</v>
      </c>
      <c r="V35" s="120">
        <f t="shared" si="16"/>
        <v>16.308863999999996</v>
      </c>
      <c r="W35" s="120">
        <f t="shared" si="4"/>
        <v>2.8313999999999995</v>
      </c>
      <c r="X35" s="119" t="s">
        <v>334</v>
      </c>
      <c r="Y35" s="53" t="s">
        <v>308</v>
      </c>
      <c r="Z35" s="119"/>
      <c r="AA35" s="119"/>
      <c r="AB35" s="119"/>
      <c r="AC35" s="119"/>
      <c r="AD35" s="119"/>
    </row>
    <row r="36" spans="1:30" ht="39.950000000000003" customHeight="1" x14ac:dyDescent="0.25">
      <c r="A36" s="119" t="s">
        <v>245</v>
      </c>
      <c r="B36" s="119" t="s">
        <v>329</v>
      </c>
      <c r="C36" s="119" t="s">
        <v>30</v>
      </c>
      <c r="D36" s="119" t="s">
        <v>330</v>
      </c>
      <c r="E36" s="119" t="s">
        <v>248</v>
      </c>
      <c r="F36" s="119">
        <v>4</v>
      </c>
      <c r="G36" s="119" t="s">
        <v>341</v>
      </c>
      <c r="H36" s="119" t="s">
        <v>342</v>
      </c>
      <c r="I36" s="119"/>
      <c r="J36" s="119"/>
      <c r="K36" s="119">
        <v>3.68</v>
      </c>
      <c r="L36" s="119">
        <v>2.4</v>
      </c>
      <c r="M36" s="119">
        <v>1.1999999999999999E-3</v>
      </c>
      <c r="N36" s="119">
        <v>1</v>
      </c>
      <c r="O36" s="119">
        <f t="shared" si="17"/>
        <v>1.0598399999999999E-2</v>
      </c>
      <c r="P36" s="119">
        <v>7800</v>
      </c>
      <c r="Q36" s="120">
        <f t="shared" si="18"/>
        <v>82.667519999999996</v>
      </c>
      <c r="R36" s="120">
        <f t="shared" si="2"/>
        <v>14.352</v>
      </c>
      <c r="S36" s="120">
        <v>2.42</v>
      </c>
      <c r="T36" s="121" t="s">
        <v>44</v>
      </c>
      <c r="U36" s="58" t="s">
        <v>343</v>
      </c>
      <c r="V36" s="120">
        <f t="shared" si="16"/>
        <v>200.05539839999997</v>
      </c>
      <c r="W36" s="120">
        <f t="shared" si="4"/>
        <v>34.731839999999998</v>
      </c>
      <c r="X36" s="119" t="s">
        <v>334</v>
      </c>
      <c r="Y36" s="53" t="s">
        <v>308</v>
      </c>
      <c r="Z36" s="119"/>
      <c r="AA36" s="119"/>
      <c r="AB36" s="119"/>
      <c r="AC36" s="119"/>
      <c r="AD36" s="119"/>
    </row>
    <row r="37" spans="1:30" ht="39.950000000000003" customHeight="1" x14ac:dyDescent="0.25">
      <c r="A37" s="119" t="s">
        <v>245</v>
      </c>
      <c r="B37" s="119" t="s">
        <v>329</v>
      </c>
      <c r="C37" s="119" t="s">
        <v>30</v>
      </c>
      <c r="D37" s="119" t="s">
        <v>330</v>
      </c>
      <c r="E37" s="119" t="s">
        <v>248</v>
      </c>
      <c r="F37" s="119">
        <v>5</v>
      </c>
      <c r="G37" s="124" t="s">
        <v>344</v>
      </c>
      <c r="H37" s="119" t="s">
        <v>345</v>
      </c>
      <c r="I37" s="119"/>
      <c r="J37" s="119"/>
      <c r="K37" s="119"/>
      <c r="L37" s="119"/>
      <c r="M37" s="119"/>
      <c r="N37" s="119"/>
      <c r="O37" s="119"/>
      <c r="P37" s="119"/>
      <c r="Q37" s="120">
        <f t="shared" ref="Q37:Q38" si="19">R37*5.76</f>
        <v>7.6032000000000002</v>
      </c>
      <c r="R37" s="120">
        <v>1.32</v>
      </c>
      <c r="S37" s="120">
        <v>2.42</v>
      </c>
      <c r="T37" s="121" t="s">
        <v>44</v>
      </c>
      <c r="U37" s="58" t="s">
        <v>346</v>
      </c>
      <c r="V37" s="120">
        <f t="shared" ref="V37:V40" si="20">(Q37*S37)</f>
        <v>18.399743999999998</v>
      </c>
      <c r="W37" s="125">
        <f t="shared" si="4"/>
        <v>3.1943999999999999</v>
      </c>
      <c r="X37" s="119" t="s">
        <v>334</v>
      </c>
      <c r="Y37" s="53" t="s">
        <v>308</v>
      </c>
      <c r="Z37" s="119"/>
      <c r="AA37" s="119"/>
      <c r="AB37" s="119"/>
      <c r="AC37" s="119"/>
      <c r="AD37" s="119"/>
    </row>
    <row r="38" spans="1:30" ht="39.950000000000003" customHeight="1" x14ac:dyDescent="0.25">
      <c r="A38" s="119" t="s">
        <v>245</v>
      </c>
      <c r="B38" s="119" t="s">
        <v>329</v>
      </c>
      <c r="C38" s="119" t="s">
        <v>30</v>
      </c>
      <c r="D38" s="119" t="s">
        <v>330</v>
      </c>
      <c r="E38" s="119" t="s">
        <v>248</v>
      </c>
      <c r="F38" s="119">
        <v>6</v>
      </c>
      <c r="G38" s="119" t="s">
        <v>347</v>
      </c>
      <c r="H38" s="119" t="s">
        <v>348</v>
      </c>
      <c r="I38" s="119"/>
      <c r="J38" s="119"/>
      <c r="K38" s="119"/>
      <c r="L38" s="119"/>
      <c r="M38" s="119"/>
      <c r="N38" s="119"/>
      <c r="O38" s="119"/>
      <c r="P38" s="119"/>
      <c r="Q38" s="120">
        <f t="shared" si="19"/>
        <v>1.1519999999999999</v>
      </c>
      <c r="R38" s="120">
        <v>0.2</v>
      </c>
      <c r="S38" s="120">
        <v>2.42</v>
      </c>
      <c r="T38" s="121" t="s">
        <v>44</v>
      </c>
      <c r="U38" s="58" t="s">
        <v>349</v>
      </c>
      <c r="V38" s="120">
        <f t="shared" si="20"/>
        <v>2.7878399999999997</v>
      </c>
      <c r="W38" s="125">
        <f t="shared" si="4"/>
        <v>0.48399999999999993</v>
      </c>
      <c r="X38" s="119" t="s">
        <v>334</v>
      </c>
      <c r="Y38" s="53" t="s">
        <v>308</v>
      </c>
      <c r="Z38" s="119"/>
      <c r="AA38" s="119"/>
      <c r="AB38" s="119"/>
      <c r="AC38" s="119"/>
      <c r="AD38" s="119"/>
    </row>
    <row r="39" spans="1:30" ht="39.950000000000003" customHeight="1" x14ac:dyDescent="0.25">
      <c r="A39" s="125" t="s">
        <v>245</v>
      </c>
      <c r="B39" s="119" t="s">
        <v>329</v>
      </c>
      <c r="C39" s="119" t="s">
        <v>30</v>
      </c>
      <c r="D39" s="119" t="s">
        <v>330</v>
      </c>
      <c r="E39" s="119" t="s">
        <v>248</v>
      </c>
      <c r="F39" s="126">
        <v>7</v>
      </c>
      <c r="G39" s="125" t="s">
        <v>141</v>
      </c>
      <c r="H39" s="125" t="s">
        <v>350</v>
      </c>
      <c r="I39" s="125"/>
      <c r="J39" s="125"/>
      <c r="K39" s="125">
        <v>4.1000000000000002E-2</v>
      </c>
      <c r="L39" s="125">
        <v>2.4</v>
      </c>
      <c r="M39" s="125">
        <v>0.1</v>
      </c>
      <c r="N39" s="125">
        <v>14</v>
      </c>
      <c r="O39" s="125">
        <f t="shared" ref="O39:O41" si="21">K39*L39*M39*N39</f>
        <v>0.13776000000000002</v>
      </c>
      <c r="P39" s="125">
        <v>22</v>
      </c>
      <c r="Q39" s="125">
        <f t="shared" ref="Q39:Q41" si="22">O39*P39</f>
        <v>3.0307200000000005</v>
      </c>
      <c r="R39" s="125">
        <f t="shared" ref="R39:R41" si="23">Q39/5.76</f>
        <v>0.52616666666666678</v>
      </c>
      <c r="S39" s="120">
        <v>1.25</v>
      </c>
      <c r="T39" s="127" t="s">
        <v>44</v>
      </c>
      <c r="U39" s="128" t="s">
        <v>351</v>
      </c>
      <c r="V39" s="120">
        <f t="shared" si="20"/>
        <v>3.7884000000000007</v>
      </c>
      <c r="W39" s="125">
        <f t="shared" si="4"/>
        <v>0.65770833333333345</v>
      </c>
      <c r="X39" s="119" t="s">
        <v>334</v>
      </c>
      <c r="Y39" s="53" t="s">
        <v>252</v>
      </c>
      <c r="Z39" s="125"/>
      <c r="AA39" s="125"/>
      <c r="AB39" s="125"/>
      <c r="AC39" s="125"/>
      <c r="AD39" s="125"/>
    </row>
    <row r="40" spans="1:30" ht="39.950000000000003" customHeight="1" x14ac:dyDescent="0.25">
      <c r="A40" s="125" t="s">
        <v>245</v>
      </c>
      <c r="B40" s="119" t="s">
        <v>329</v>
      </c>
      <c r="C40" s="119" t="s">
        <v>30</v>
      </c>
      <c r="D40" s="119" t="s">
        <v>330</v>
      </c>
      <c r="E40" s="119" t="s">
        <v>248</v>
      </c>
      <c r="F40" s="126">
        <v>8</v>
      </c>
      <c r="G40" s="119" t="s">
        <v>347</v>
      </c>
      <c r="H40" s="125" t="s">
        <v>352</v>
      </c>
      <c r="I40" s="125"/>
      <c r="J40" s="125"/>
      <c r="K40" s="125">
        <v>4.1000000000000002E-2</v>
      </c>
      <c r="L40" s="125">
        <v>2.4</v>
      </c>
      <c r="M40" s="125">
        <v>0.1</v>
      </c>
      <c r="N40" s="125">
        <v>14</v>
      </c>
      <c r="O40" s="125">
        <f t="shared" si="21"/>
        <v>0.13776000000000002</v>
      </c>
      <c r="P40" s="125">
        <v>22</v>
      </c>
      <c r="Q40" s="125">
        <f t="shared" si="22"/>
        <v>3.0307200000000005</v>
      </c>
      <c r="R40" s="125">
        <f t="shared" si="23"/>
        <v>0.52616666666666678</v>
      </c>
      <c r="S40" s="120">
        <v>1.25</v>
      </c>
      <c r="T40" s="127" t="s">
        <v>44</v>
      </c>
      <c r="U40" s="128" t="s">
        <v>353</v>
      </c>
      <c r="V40" s="120">
        <f t="shared" si="20"/>
        <v>3.7884000000000007</v>
      </c>
      <c r="W40" s="125">
        <f t="shared" si="4"/>
        <v>0.65770833333333345</v>
      </c>
      <c r="X40" s="119" t="s">
        <v>334</v>
      </c>
      <c r="Y40" s="53" t="s">
        <v>252</v>
      </c>
      <c r="Z40" s="125"/>
      <c r="AA40" s="125"/>
      <c r="AB40" s="125"/>
      <c r="AC40" s="125"/>
      <c r="AD40" s="125"/>
    </row>
    <row r="41" spans="1:30" ht="39.950000000000003" customHeight="1" x14ac:dyDescent="0.25">
      <c r="A41" s="119" t="s">
        <v>245</v>
      </c>
      <c r="B41" s="119" t="s">
        <v>329</v>
      </c>
      <c r="C41" s="119" t="s">
        <v>30</v>
      </c>
      <c r="D41" s="53" t="s">
        <v>304</v>
      </c>
      <c r="E41" s="119" t="s">
        <v>248</v>
      </c>
      <c r="F41" s="119">
        <v>9</v>
      </c>
      <c r="G41" s="119" t="s">
        <v>301</v>
      </c>
      <c r="H41" s="119" t="s">
        <v>278</v>
      </c>
      <c r="I41" s="129"/>
      <c r="J41" s="129"/>
      <c r="K41" s="119">
        <v>2.4</v>
      </c>
      <c r="L41" s="119">
        <v>2.4</v>
      </c>
      <c r="M41" s="119">
        <v>1.2500000000000001E-2</v>
      </c>
      <c r="N41" s="119">
        <v>1</v>
      </c>
      <c r="O41" s="119">
        <f t="shared" si="21"/>
        <v>7.1999999999999995E-2</v>
      </c>
      <c r="P41" s="119">
        <v>800</v>
      </c>
      <c r="Q41" s="120">
        <f t="shared" si="22"/>
        <v>57.599999999999994</v>
      </c>
      <c r="R41" s="120">
        <f t="shared" si="23"/>
        <v>10</v>
      </c>
      <c r="S41" s="55">
        <v>2.4</v>
      </c>
      <c r="T41" s="57" t="s">
        <v>34</v>
      </c>
      <c r="U41" s="58" t="s">
        <v>354</v>
      </c>
      <c r="V41" s="120">
        <f>S41*5.76</f>
        <v>13.824</v>
      </c>
      <c r="W41" s="120">
        <f t="shared" si="4"/>
        <v>2.4</v>
      </c>
      <c r="X41" s="119" t="s">
        <v>334</v>
      </c>
      <c r="Y41" s="53" t="s">
        <v>252</v>
      </c>
      <c r="Z41" s="129"/>
      <c r="AA41" s="129"/>
      <c r="AB41" s="129"/>
      <c r="AC41" s="129"/>
      <c r="AD41" s="129"/>
    </row>
    <row r="42" spans="1:30" ht="39.950000000000003" customHeight="1" x14ac:dyDescent="0.25">
      <c r="A42" s="130" t="s">
        <v>245</v>
      </c>
      <c r="B42" s="130" t="s">
        <v>355</v>
      </c>
      <c r="C42" s="130" t="s">
        <v>356</v>
      </c>
      <c r="D42" s="130" t="s">
        <v>357</v>
      </c>
      <c r="E42" s="130" t="s">
        <v>248</v>
      </c>
      <c r="F42" s="130">
        <v>1</v>
      </c>
      <c r="G42" s="130" t="s">
        <v>358</v>
      </c>
      <c r="H42" s="131" t="s">
        <v>359</v>
      </c>
      <c r="I42" s="130"/>
      <c r="J42" s="130"/>
      <c r="K42" s="130">
        <v>1.2</v>
      </c>
      <c r="L42" s="130">
        <v>2.4</v>
      </c>
      <c r="M42" s="130">
        <v>0.2</v>
      </c>
      <c r="N42" s="130">
        <v>2</v>
      </c>
      <c r="O42" s="130"/>
      <c r="P42" s="130"/>
      <c r="Q42" s="132">
        <f>R42*5.76</f>
        <v>1324.8</v>
      </c>
      <c r="R42" s="132">
        <v>230</v>
      </c>
      <c r="S42" s="132">
        <v>0.158</v>
      </c>
      <c r="T42" s="133" t="s">
        <v>44</v>
      </c>
      <c r="U42" s="134" t="s">
        <v>360</v>
      </c>
      <c r="V42" s="132">
        <f t="shared" ref="V42:V45" si="24">Q42*S42</f>
        <v>209.3184</v>
      </c>
      <c r="W42" s="132">
        <f t="shared" si="4"/>
        <v>36.340000000000003</v>
      </c>
      <c r="X42" s="130" t="s">
        <v>334</v>
      </c>
      <c r="Y42" s="131" t="s">
        <v>361</v>
      </c>
      <c r="Z42" s="130"/>
      <c r="AA42" s="130"/>
      <c r="AB42" s="130"/>
      <c r="AC42" s="130"/>
      <c r="AD42" s="130"/>
    </row>
    <row r="43" spans="1:30" ht="39.950000000000003" customHeight="1" x14ac:dyDescent="0.25">
      <c r="A43" s="130" t="s">
        <v>245</v>
      </c>
      <c r="B43" s="130" t="s">
        <v>355</v>
      </c>
      <c r="C43" s="130" t="s">
        <v>356</v>
      </c>
      <c r="D43" s="130" t="s">
        <v>357</v>
      </c>
      <c r="E43" s="130" t="s">
        <v>248</v>
      </c>
      <c r="F43" s="130">
        <v>2</v>
      </c>
      <c r="G43" s="130" t="s">
        <v>362</v>
      </c>
      <c r="H43" s="131" t="s">
        <v>363</v>
      </c>
      <c r="I43" s="130"/>
      <c r="J43" s="130"/>
      <c r="K43" s="130"/>
      <c r="L43" s="130"/>
      <c r="M43" s="130"/>
      <c r="N43" s="130"/>
      <c r="O43" s="130"/>
      <c r="P43" s="130"/>
      <c r="Q43" s="132">
        <f>PRODUCT(6.16, 5.76)</f>
        <v>35.4816</v>
      </c>
      <c r="R43" s="132">
        <f>Q43/5.76</f>
        <v>6.16</v>
      </c>
      <c r="S43" s="132">
        <v>0.73</v>
      </c>
      <c r="T43" s="133" t="s">
        <v>44</v>
      </c>
      <c r="U43" s="135" t="s">
        <v>364</v>
      </c>
      <c r="V43" s="132">
        <f t="shared" si="24"/>
        <v>25.901568000000001</v>
      </c>
      <c r="W43" s="132">
        <f t="shared" si="4"/>
        <v>4.4968000000000004</v>
      </c>
      <c r="X43" s="130" t="s">
        <v>334</v>
      </c>
      <c r="Y43" s="131" t="s">
        <v>361</v>
      </c>
      <c r="Z43" s="130"/>
      <c r="AA43" s="130"/>
      <c r="AB43" s="130"/>
      <c r="AC43" s="130"/>
      <c r="AD43" s="130"/>
    </row>
    <row r="44" spans="1:30" ht="39.950000000000003" customHeight="1" x14ac:dyDescent="0.25">
      <c r="A44" s="130" t="s">
        <v>245</v>
      </c>
      <c r="B44" s="130" t="s">
        <v>355</v>
      </c>
      <c r="C44" s="130" t="s">
        <v>356</v>
      </c>
      <c r="D44" s="130" t="s">
        <v>357</v>
      </c>
      <c r="E44" s="130" t="s">
        <v>248</v>
      </c>
      <c r="F44" s="130">
        <v>3</v>
      </c>
      <c r="G44" s="130" t="s">
        <v>365</v>
      </c>
      <c r="H44" s="131" t="s">
        <v>141</v>
      </c>
      <c r="I44" s="130"/>
      <c r="J44" s="130"/>
      <c r="K44" s="130">
        <v>2.4</v>
      </c>
      <c r="L44" s="130">
        <v>2.4</v>
      </c>
      <c r="M44" s="130">
        <v>0.01</v>
      </c>
      <c r="N44" s="130">
        <v>1</v>
      </c>
      <c r="O44" s="130"/>
      <c r="P44" s="130"/>
      <c r="Q44" s="132">
        <f>R44*5.76</f>
        <v>24.364800000000002</v>
      </c>
      <c r="R44" s="132">
        <v>4.2300000000000004</v>
      </c>
      <c r="S44" s="132">
        <v>0.5</v>
      </c>
      <c r="T44" s="133" t="s">
        <v>44</v>
      </c>
      <c r="U44" s="134" t="s">
        <v>366</v>
      </c>
      <c r="V44" s="132">
        <f t="shared" si="24"/>
        <v>12.182400000000001</v>
      </c>
      <c r="W44" s="132">
        <f t="shared" si="4"/>
        <v>2.1150000000000002</v>
      </c>
      <c r="X44" s="130" t="s">
        <v>334</v>
      </c>
      <c r="Y44" s="131" t="s">
        <v>361</v>
      </c>
      <c r="Z44" s="130"/>
      <c r="AA44" s="130"/>
      <c r="AB44" s="130"/>
      <c r="AC44" s="130"/>
      <c r="AD44" s="130"/>
    </row>
    <row r="45" spans="1:30" ht="39.950000000000003" customHeight="1" x14ac:dyDescent="0.25">
      <c r="A45" s="130" t="s">
        <v>245</v>
      </c>
      <c r="B45" s="130" t="s">
        <v>367</v>
      </c>
      <c r="C45" s="130" t="s">
        <v>356</v>
      </c>
      <c r="D45" s="130" t="s">
        <v>357</v>
      </c>
      <c r="E45" s="130" t="s">
        <v>248</v>
      </c>
      <c r="F45" s="130">
        <v>4</v>
      </c>
      <c r="G45" s="130" t="s">
        <v>368</v>
      </c>
      <c r="H45" s="130" t="s">
        <v>369</v>
      </c>
      <c r="I45" s="130"/>
      <c r="J45" s="130"/>
      <c r="K45" s="130">
        <v>2.4</v>
      </c>
      <c r="L45" s="130">
        <v>2.4</v>
      </c>
      <c r="M45" s="130">
        <v>0.08</v>
      </c>
      <c r="N45" s="130">
        <v>1</v>
      </c>
      <c r="O45" s="130">
        <f>PRODUCT(K45,L45,M45)</f>
        <v>0.46079999999999999</v>
      </c>
      <c r="P45" s="130">
        <v>2100</v>
      </c>
      <c r="Q45" s="132">
        <f>PRODUCT(O45,P45)</f>
        <v>967.68</v>
      </c>
      <c r="R45" s="132">
        <f>Q45/5.76</f>
        <v>168</v>
      </c>
      <c r="S45" s="132">
        <v>0.14599999999999999</v>
      </c>
      <c r="T45" s="133" t="s">
        <v>44</v>
      </c>
      <c r="U45" s="135" t="s">
        <v>370</v>
      </c>
      <c r="V45" s="132">
        <f t="shared" si="24"/>
        <v>141.28127999999998</v>
      </c>
      <c r="W45" s="132">
        <f t="shared" si="4"/>
        <v>24.527999999999999</v>
      </c>
      <c r="X45" s="130" t="s">
        <v>334</v>
      </c>
      <c r="Y45" s="131" t="s">
        <v>361</v>
      </c>
      <c r="Z45" s="130"/>
      <c r="AA45" s="130"/>
      <c r="AB45" s="130"/>
      <c r="AC45" s="130"/>
      <c r="AD45" s="130"/>
    </row>
    <row r="46" spans="1:30" ht="39.950000000000003" customHeight="1" x14ac:dyDescent="0.25">
      <c r="A46" s="130" t="s">
        <v>245</v>
      </c>
      <c r="B46" s="130" t="s">
        <v>355</v>
      </c>
      <c r="C46" s="130" t="s">
        <v>356</v>
      </c>
      <c r="D46" s="130" t="s">
        <v>357</v>
      </c>
      <c r="E46" s="130" t="s">
        <v>248</v>
      </c>
      <c r="F46" s="130">
        <v>5</v>
      </c>
      <c r="G46" s="136" t="s">
        <v>344</v>
      </c>
      <c r="H46" s="130" t="s">
        <v>345</v>
      </c>
      <c r="I46" s="130"/>
      <c r="J46" s="130"/>
      <c r="K46" s="130"/>
      <c r="L46" s="130"/>
      <c r="M46" s="130"/>
      <c r="N46" s="130"/>
      <c r="O46" s="130"/>
      <c r="P46" s="130"/>
      <c r="Q46" s="132">
        <f t="shared" ref="Q46:Q47" si="25">R46*5.76</f>
        <v>7.6032000000000002</v>
      </c>
      <c r="R46" s="132">
        <v>1.32</v>
      </c>
      <c r="S46" s="132">
        <v>2.42</v>
      </c>
      <c r="T46" s="133" t="s">
        <v>44</v>
      </c>
      <c r="U46" s="137" t="s">
        <v>371</v>
      </c>
      <c r="V46" s="132">
        <f t="shared" ref="V46:V49" si="26">(Q46*S46)</f>
        <v>18.399743999999998</v>
      </c>
      <c r="W46" s="138">
        <f t="shared" si="4"/>
        <v>3.1943999999999999</v>
      </c>
      <c r="X46" s="130" t="s">
        <v>334</v>
      </c>
      <c r="Y46" s="131" t="s">
        <v>361</v>
      </c>
      <c r="Z46" s="130"/>
      <c r="AA46" s="130"/>
      <c r="AB46" s="130"/>
      <c r="AC46" s="130"/>
      <c r="AD46" s="130"/>
    </row>
    <row r="47" spans="1:30" ht="39.950000000000003" customHeight="1" x14ac:dyDescent="0.25">
      <c r="A47" s="130" t="s">
        <v>245</v>
      </c>
      <c r="B47" s="130" t="s">
        <v>355</v>
      </c>
      <c r="C47" s="130" t="s">
        <v>356</v>
      </c>
      <c r="D47" s="130" t="s">
        <v>357</v>
      </c>
      <c r="E47" s="130" t="s">
        <v>248</v>
      </c>
      <c r="F47" s="130">
        <v>6</v>
      </c>
      <c r="G47" s="130" t="s">
        <v>347</v>
      </c>
      <c r="H47" s="130" t="s">
        <v>348</v>
      </c>
      <c r="I47" s="130"/>
      <c r="J47" s="130"/>
      <c r="K47" s="130"/>
      <c r="L47" s="130"/>
      <c r="M47" s="130"/>
      <c r="N47" s="130"/>
      <c r="O47" s="130"/>
      <c r="P47" s="130"/>
      <c r="Q47" s="132">
        <f t="shared" si="25"/>
        <v>1.1519999999999999</v>
      </c>
      <c r="R47" s="132">
        <v>0.2</v>
      </c>
      <c r="S47" s="132">
        <v>2.42</v>
      </c>
      <c r="T47" s="133" t="s">
        <v>44</v>
      </c>
      <c r="U47" s="137" t="s">
        <v>372</v>
      </c>
      <c r="V47" s="132">
        <f t="shared" si="26"/>
        <v>2.7878399999999997</v>
      </c>
      <c r="W47" s="138">
        <f t="shared" si="4"/>
        <v>0.48399999999999993</v>
      </c>
      <c r="X47" s="130" t="s">
        <v>334</v>
      </c>
      <c r="Y47" s="131" t="s">
        <v>361</v>
      </c>
      <c r="Z47" s="130"/>
      <c r="AA47" s="130"/>
      <c r="AB47" s="130"/>
      <c r="AC47" s="130"/>
      <c r="AD47" s="130"/>
    </row>
    <row r="48" spans="1:30" ht="39.950000000000003" customHeight="1" x14ac:dyDescent="0.25">
      <c r="A48" s="138" t="s">
        <v>245</v>
      </c>
      <c r="B48" s="130" t="s">
        <v>355</v>
      </c>
      <c r="C48" s="130" t="s">
        <v>356</v>
      </c>
      <c r="D48" s="130" t="s">
        <v>357</v>
      </c>
      <c r="E48" s="130" t="s">
        <v>248</v>
      </c>
      <c r="F48" s="139">
        <v>7</v>
      </c>
      <c r="G48" s="138" t="s">
        <v>141</v>
      </c>
      <c r="H48" s="138" t="s">
        <v>350</v>
      </c>
      <c r="I48" s="138"/>
      <c r="J48" s="138"/>
      <c r="K48" s="138">
        <v>4.1000000000000002E-2</v>
      </c>
      <c r="L48" s="138">
        <v>2.4</v>
      </c>
      <c r="M48" s="138">
        <v>0.1</v>
      </c>
      <c r="N48" s="138">
        <v>14</v>
      </c>
      <c r="O48" s="138">
        <f t="shared" ref="O48:O50" si="27">K48*L48*M48*N48</f>
        <v>0.13776000000000002</v>
      </c>
      <c r="P48" s="138">
        <v>22</v>
      </c>
      <c r="Q48" s="138">
        <f t="shared" ref="Q48:Q50" si="28">O48*P48</f>
        <v>3.0307200000000005</v>
      </c>
      <c r="R48" s="138">
        <f t="shared" ref="R48:R50" si="29">Q48/5.76</f>
        <v>0.52616666666666678</v>
      </c>
      <c r="S48" s="132">
        <v>1.25</v>
      </c>
      <c r="T48" s="140" t="s">
        <v>44</v>
      </c>
      <c r="U48" s="134" t="s">
        <v>373</v>
      </c>
      <c r="V48" s="132">
        <f t="shared" si="26"/>
        <v>3.7884000000000007</v>
      </c>
      <c r="W48" s="138">
        <f t="shared" si="4"/>
        <v>0.65770833333333345</v>
      </c>
      <c r="X48" s="130" t="s">
        <v>334</v>
      </c>
      <c r="Y48" s="131" t="s">
        <v>361</v>
      </c>
      <c r="Z48" s="138"/>
      <c r="AA48" s="138"/>
      <c r="AB48" s="138"/>
      <c r="AC48" s="138"/>
      <c r="AD48" s="138"/>
    </row>
    <row r="49" spans="1:30" ht="39.950000000000003" customHeight="1" x14ac:dyDescent="0.25">
      <c r="A49" s="138" t="s">
        <v>245</v>
      </c>
      <c r="B49" s="130" t="s">
        <v>355</v>
      </c>
      <c r="C49" s="130" t="s">
        <v>356</v>
      </c>
      <c r="D49" s="130" t="s">
        <v>357</v>
      </c>
      <c r="E49" s="130" t="s">
        <v>248</v>
      </c>
      <c r="F49" s="139">
        <v>8</v>
      </c>
      <c r="G49" s="130" t="s">
        <v>347</v>
      </c>
      <c r="H49" s="138" t="s">
        <v>352</v>
      </c>
      <c r="I49" s="138"/>
      <c r="J49" s="138"/>
      <c r="K49" s="138">
        <v>4.1000000000000002E-2</v>
      </c>
      <c r="L49" s="138">
        <v>2.4</v>
      </c>
      <c r="M49" s="138">
        <v>0.1</v>
      </c>
      <c r="N49" s="138">
        <v>14</v>
      </c>
      <c r="O49" s="138">
        <f t="shared" si="27"/>
        <v>0.13776000000000002</v>
      </c>
      <c r="P49" s="138">
        <v>22</v>
      </c>
      <c r="Q49" s="138">
        <f t="shared" si="28"/>
        <v>3.0307200000000005</v>
      </c>
      <c r="R49" s="138">
        <f t="shared" si="29"/>
        <v>0.52616666666666678</v>
      </c>
      <c r="S49" s="132">
        <v>1.25</v>
      </c>
      <c r="T49" s="140" t="s">
        <v>44</v>
      </c>
      <c r="U49" s="134" t="s">
        <v>374</v>
      </c>
      <c r="V49" s="132">
        <f t="shared" si="26"/>
        <v>3.7884000000000007</v>
      </c>
      <c r="W49" s="138">
        <f t="shared" si="4"/>
        <v>0.65770833333333345</v>
      </c>
      <c r="X49" s="130" t="s">
        <v>334</v>
      </c>
      <c r="Y49" s="131" t="s">
        <v>361</v>
      </c>
      <c r="Z49" s="138"/>
      <c r="AA49" s="138"/>
      <c r="AB49" s="138"/>
      <c r="AC49" s="138"/>
      <c r="AD49" s="138"/>
    </row>
    <row r="50" spans="1:30" ht="39.950000000000003" customHeight="1" x14ac:dyDescent="0.25">
      <c r="A50" s="130" t="s">
        <v>245</v>
      </c>
      <c r="B50" s="130" t="s">
        <v>355</v>
      </c>
      <c r="C50" s="130" t="s">
        <v>356</v>
      </c>
      <c r="D50" s="130" t="s">
        <v>357</v>
      </c>
      <c r="E50" s="130" t="s">
        <v>248</v>
      </c>
      <c r="F50" s="130">
        <v>9</v>
      </c>
      <c r="G50" s="130" t="s">
        <v>301</v>
      </c>
      <c r="H50" s="130" t="s">
        <v>278</v>
      </c>
      <c r="I50" s="141"/>
      <c r="J50" s="141"/>
      <c r="K50" s="130">
        <v>2.4</v>
      </c>
      <c r="L50" s="130">
        <v>2.4</v>
      </c>
      <c r="M50" s="130">
        <v>1.2500000000000001E-2</v>
      </c>
      <c r="N50" s="130">
        <v>1</v>
      </c>
      <c r="O50" s="130">
        <f t="shared" si="27"/>
        <v>7.1999999999999995E-2</v>
      </c>
      <c r="P50" s="130">
        <v>800</v>
      </c>
      <c r="Q50" s="132">
        <f t="shared" si="28"/>
        <v>57.599999999999994</v>
      </c>
      <c r="R50" s="132">
        <f t="shared" si="29"/>
        <v>10</v>
      </c>
      <c r="S50" s="142">
        <v>2.4</v>
      </c>
      <c r="T50" s="143" t="s">
        <v>34</v>
      </c>
      <c r="U50" s="137" t="s">
        <v>375</v>
      </c>
      <c r="V50" s="132">
        <f>S50*5.76</f>
        <v>13.824</v>
      </c>
      <c r="W50" s="132">
        <f t="shared" si="4"/>
        <v>2.4</v>
      </c>
      <c r="X50" s="130" t="s">
        <v>334</v>
      </c>
      <c r="Y50" s="131" t="s">
        <v>361</v>
      </c>
      <c r="Z50" s="141"/>
      <c r="AA50" s="141"/>
      <c r="AB50" s="141"/>
      <c r="AC50" s="141"/>
      <c r="AD50" s="141"/>
    </row>
    <row r="51" spans="1:30" ht="15.75" customHeight="1" x14ac:dyDescent="0.25">
      <c r="Q51" s="99"/>
      <c r="R51" s="99"/>
      <c r="S51" s="99"/>
      <c r="T51" s="100"/>
      <c r="V51" s="99"/>
      <c r="W51" s="99"/>
      <c r="Y51" s="47"/>
    </row>
    <row r="52" spans="1:30" ht="15.75" customHeight="1" x14ac:dyDescent="0.25">
      <c r="Q52" s="99"/>
      <c r="R52" s="99"/>
      <c r="S52" s="99"/>
      <c r="T52" s="100"/>
      <c r="V52" s="99"/>
      <c r="W52" s="99"/>
      <c r="Y52" s="47"/>
    </row>
    <row r="53" spans="1:30" ht="15.75" customHeight="1" x14ac:dyDescent="0.25">
      <c r="K53" s="144"/>
      <c r="L53" s="144"/>
      <c r="M53" s="144"/>
      <c r="N53" s="144"/>
      <c r="O53" s="144"/>
      <c r="P53" s="145"/>
      <c r="Q53" s="146"/>
      <c r="R53" s="146"/>
      <c r="S53" s="99"/>
      <c r="T53" s="100"/>
      <c r="V53" s="99"/>
      <c r="W53" s="99"/>
      <c r="Y53" s="47"/>
    </row>
    <row r="54" spans="1:30" ht="15.75" customHeight="1" x14ac:dyDescent="0.25">
      <c r="K54" s="147"/>
      <c r="L54" s="147"/>
      <c r="M54" s="147"/>
      <c r="N54" s="148"/>
      <c r="O54" s="147"/>
      <c r="P54" s="147"/>
      <c r="Q54" s="149"/>
      <c r="R54" s="149"/>
      <c r="S54" s="99"/>
      <c r="T54" s="100"/>
      <c r="V54" s="99"/>
      <c r="W54" s="99"/>
      <c r="Y54" s="47"/>
    </row>
    <row r="55" spans="1:30" ht="15.75" customHeight="1" x14ac:dyDescent="0.25">
      <c r="K55" s="147"/>
      <c r="L55" s="147"/>
      <c r="M55" s="147"/>
      <c r="N55" s="148"/>
      <c r="O55" s="147"/>
      <c r="P55" s="150"/>
      <c r="Q55" s="151"/>
      <c r="R55" s="149"/>
      <c r="S55" s="149"/>
      <c r="T55" s="148"/>
      <c r="U55" s="147"/>
      <c r="V55" s="149"/>
      <c r="W55" s="152"/>
      <c r="X55" s="153"/>
      <c r="Y55" s="153"/>
      <c r="Z55" s="147"/>
      <c r="AA55" s="150"/>
    </row>
    <row r="56" spans="1:30" ht="15.75" customHeight="1" x14ac:dyDescent="0.25">
      <c r="K56" s="147"/>
      <c r="L56" s="147"/>
      <c r="M56" s="147"/>
      <c r="N56" s="148"/>
      <c r="O56" s="147"/>
      <c r="P56" s="147"/>
      <c r="Q56" s="149"/>
      <c r="R56" s="151"/>
      <c r="S56" s="149"/>
      <c r="T56" s="148"/>
      <c r="U56" s="147"/>
      <c r="V56" s="154"/>
      <c r="W56" s="149"/>
      <c r="X56" s="147"/>
      <c r="Y56" s="147"/>
      <c r="Z56" s="155"/>
      <c r="AA56" s="155"/>
    </row>
    <row r="57" spans="1:30" ht="15.75" customHeight="1" x14ac:dyDescent="0.25">
      <c r="K57" s="150"/>
      <c r="L57" s="150"/>
      <c r="M57" s="150"/>
      <c r="N57" s="148"/>
      <c r="P57" s="147"/>
      <c r="Q57" s="149"/>
      <c r="R57" s="151"/>
      <c r="S57" s="149"/>
      <c r="T57" s="148"/>
      <c r="U57" s="147"/>
      <c r="V57" s="154"/>
      <c r="W57" s="152"/>
      <c r="X57" s="153"/>
      <c r="Y57" s="153"/>
      <c r="Z57" s="150"/>
      <c r="AA57" s="155"/>
    </row>
    <row r="58" spans="1:30" ht="15.75" customHeight="1" x14ac:dyDescent="0.25">
      <c r="P58" s="150"/>
      <c r="Q58" s="151"/>
      <c r="R58" s="151"/>
      <c r="S58" s="151"/>
      <c r="T58" s="156"/>
      <c r="U58" s="150"/>
      <c r="V58" s="157"/>
      <c r="W58" s="158"/>
      <c r="X58" s="159"/>
      <c r="Y58" s="159"/>
      <c r="Z58" s="150"/>
      <c r="AA58" s="155"/>
    </row>
    <row r="59" spans="1:30" ht="15.75" customHeight="1" x14ac:dyDescent="0.25">
      <c r="Q59" s="99"/>
      <c r="R59" s="99"/>
      <c r="S59" s="99"/>
      <c r="T59" s="100"/>
      <c r="V59" s="99"/>
      <c r="W59" s="99"/>
      <c r="Y59" s="47"/>
    </row>
    <row r="60" spans="1:30" ht="15.75" customHeight="1" x14ac:dyDescent="0.25">
      <c r="Q60" s="99"/>
      <c r="R60" s="99"/>
      <c r="S60" s="99"/>
      <c r="T60" s="100"/>
      <c r="V60" s="99"/>
      <c r="W60" s="99"/>
      <c r="Y60" s="47"/>
    </row>
    <row r="61" spans="1:30" ht="15.75" customHeight="1" x14ac:dyDescent="0.25">
      <c r="Q61" s="99"/>
      <c r="R61" s="99"/>
      <c r="S61" s="99"/>
      <c r="T61" s="100"/>
      <c r="V61" s="99"/>
      <c r="W61" s="99"/>
      <c r="Y61" s="47"/>
    </row>
    <row r="62" spans="1:30" ht="15.75" customHeight="1" x14ac:dyDescent="0.25">
      <c r="Q62" s="99"/>
      <c r="R62" s="99"/>
      <c r="S62" s="99"/>
      <c r="T62" s="100"/>
      <c r="V62" s="99"/>
      <c r="W62" s="99"/>
      <c r="Y62" s="47"/>
    </row>
    <row r="63" spans="1:30" ht="15.75" customHeight="1" x14ac:dyDescent="0.25">
      <c r="Q63" s="99"/>
      <c r="R63" s="99"/>
      <c r="S63" s="99"/>
      <c r="T63" s="100"/>
      <c r="V63" s="99"/>
      <c r="W63" s="99"/>
      <c r="Y63" s="47"/>
    </row>
    <row r="64" spans="1:30" ht="15.75" customHeight="1" x14ac:dyDescent="0.25">
      <c r="Q64" s="99"/>
      <c r="R64" s="99"/>
      <c r="S64" s="99"/>
      <c r="T64" s="100"/>
      <c r="V64" s="99"/>
      <c r="W64" s="99"/>
      <c r="Y64" s="47"/>
    </row>
    <row r="65" spans="17:25" ht="15.75" customHeight="1" x14ac:dyDescent="0.25">
      <c r="Q65" s="99"/>
      <c r="R65" s="99"/>
      <c r="S65" s="99"/>
      <c r="T65" s="100"/>
      <c r="V65" s="99"/>
      <c r="W65" s="99"/>
      <c r="Y65" s="47"/>
    </row>
    <row r="66" spans="17:25" ht="15.75" customHeight="1" x14ac:dyDescent="0.25">
      <c r="Q66" s="99"/>
      <c r="R66" s="99"/>
      <c r="S66" s="99"/>
      <c r="T66" s="100"/>
      <c r="V66" s="99"/>
      <c r="W66" s="99"/>
      <c r="Y66" s="47"/>
    </row>
    <row r="67" spans="17:25" ht="15.75" customHeight="1" x14ac:dyDescent="0.25">
      <c r="Q67" s="99"/>
      <c r="R67" s="99"/>
      <c r="S67" s="99"/>
      <c r="T67" s="100"/>
      <c r="V67" s="99"/>
      <c r="W67" s="99"/>
      <c r="Y67" s="47"/>
    </row>
    <row r="68" spans="17:25" ht="15.75" customHeight="1" x14ac:dyDescent="0.25">
      <c r="Q68" s="99"/>
      <c r="R68" s="99"/>
      <c r="S68" s="99"/>
      <c r="T68" s="100"/>
      <c r="V68" s="99"/>
      <c r="W68" s="99"/>
      <c r="Y68" s="47"/>
    </row>
    <row r="69" spans="17:25" ht="15.75" customHeight="1" x14ac:dyDescent="0.25">
      <c r="Q69" s="99"/>
      <c r="R69" s="99"/>
      <c r="S69" s="99"/>
      <c r="T69" s="100"/>
      <c r="V69" s="99"/>
      <c r="W69" s="99"/>
      <c r="Y69" s="47"/>
    </row>
    <row r="70" spans="17:25" ht="15.75" customHeight="1" x14ac:dyDescent="0.25">
      <c r="Q70" s="99"/>
      <c r="R70" s="99"/>
      <c r="S70" s="99"/>
      <c r="T70" s="100"/>
      <c r="V70" s="99"/>
      <c r="W70" s="99"/>
      <c r="Y70" s="47"/>
    </row>
    <row r="71" spans="17:25" ht="15.75" customHeight="1" x14ac:dyDescent="0.25">
      <c r="Q71" s="99"/>
      <c r="R71" s="99"/>
      <c r="S71" s="99"/>
      <c r="T71" s="100"/>
      <c r="V71" s="99"/>
      <c r="W71" s="99"/>
      <c r="Y71" s="47"/>
    </row>
    <row r="72" spans="17:25" ht="15.75" customHeight="1" x14ac:dyDescent="0.25">
      <c r="Q72" s="99"/>
      <c r="R72" s="99"/>
      <c r="S72" s="99"/>
      <c r="T72" s="100"/>
      <c r="V72" s="99"/>
      <c r="W72" s="99"/>
      <c r="Y72" s="47"/>
    </row>
    <row r="73" spans="17:25" ht="15.75" customHeight="1" x14ac:dyDescent="0.25">
      <c r="Q73" s="99"/>
      <c r="R73" s="99"/>
      <c r="S73" s="99"/>
      <c r="T73" s="100"/>
      <c r="V73" s="99"/>
      <c r="W73" s="99"/>
      <c r="Y73" s="47"/>
    </row>
    <row r="74" spans="17:25" ht="15.75" customHeight="1" x14ac:dyDescent="0.25">
      <c r="Q74" s="99"/>
      <c r="R74" s="99"/>
      <c r="S74" s="99"/>
      <c r="T74" s="100"/>
      <c r="V74" s="99"/>
      <c r="W74" s="99"/>
      <c r="Y74" s="47"/>
    </row>
    <row r="75" spans="17:25" ht="15.75" customHeight="1" x14ac:dyDescent="0.25">
      <c r="Q75" s="99"/>
      <c r="R75" s="99"/>
      <c r="S75" s="99"/>
      <c r="T75" s="100"/>
      <c r="V75" s="99"/>
      <c r="W75" s="99"/>
      <c r="Y75" s="47"/>
    </row>
    <row r="76" spans="17:25" ht="15.75" customHeight="1" x14ac:dyDescent="0.25">
      <c r="Q76" s="99"/>
      <c r="R76" s="99"/>
      <c r="S76" s="99"/>
      <c r="T76" s="100"/>
      <c r="V76" s="99"/>
      <c r="W76" s="99"/>
      <c r="Y76" s="47"/>
    </row>
    <row r="77" spans="17:25" ht="15.75" customHeight="1" x14ac:dyDescent="0.25">
      <c r="Q77" s="99"/>
      <c r="R77" s="99"/>
      <c r="S77" s="99"/>
      <c r="T77" s="100"/>
      <c r="V77" s="99"/>
      <c r="W77" s="99"/>
      <c r="Y77" s="47"/>
    </row>
    <row r="78" spans="17:25" ht="15.75" customHeight="1" x14ac:dyDescent="0.25">
      <c r="Q78" s="99"/>
      <c r="R78" s="99"/>
      <c r="S78" s="99"/>
      <c r="T78" s="100"/>
      <c r="V78" s="99"/>
      <c r="W78" s="99"/>
      <c r="Y78" s="47"/>
    </row>
    <row r="79" spans="17:25" ht="15.75" customHeight="1" x14ac:dyDescent="0.25">
      <c r="Q79" s="99"/>
      <c r="R79" s="99"/>
      <c r="S79" s="99"/>
      <c r="T79" s="100"/>
      <c r="V79" s="99"/>
      <c r="W79" s="99"/>
      <c r="Y79" s="47"/>
    </row>
    <row r="80" spans="17:25" ht="15.75" customHeight="1" x14ac:dyDescent="0.25">
      <c r="Q80" s="99"/>
      <c r="R80" s="99"/>
      <c r="S80" s="99"/>
      <c r="T80" s="100"/>
      <c r="V80" s="99"/>
      <c r="W80" s="99"/>
      <c r="Y80" s="47"/>
    </row>
    <row r="81" spans="17:25" ht="15.75" customHeight="1" x14ac:dyDescent="0.25">
      <c r="Q81" s="99"/>
      <c r="R81" s="99"/>
      <c r="S81" s="99"/>
      <c r="T81" s="100"/>
      <c r="V81" s="99"/>
      <c r="W81" s="99"/>
      <c r="Y81" s="47"/>
    </row>
    <row r="82" spans="17:25" ht="15.75" customHeight="1" x14ac:dyDescent="0.25">
      <c r="Q82" s="99"/>
      <c r="R82" s="99"/>
      <c r="S82" s="99"/>
      <c r="T82" s="100"/>
      <c r="V82" s="99"/>
      <c r="W82" s="99"/>
      <c r="Y82" s="47"/>
    </row>
    <row r="83" spans="17:25" ht="15.75" customHeight="1" x14ac:dyDescent="0.25">
      <c r="Q83" s="99"/>
      <c r="R83" s="99"/>
      <c r="S83" s="99"/>
      <c r="T83" s="100"/>
      <c r="V83" s="99"/>
      <c r="W83" s="99"/>
      <c r="Y83" s="47"/>
    </row>
    <row r="84" spans="17:25" ht="15.75" customHeight="1" x14ac:dyDescent="0.25">
      <c r="Q84" s="99"/>
      <c r="R84" s="99"/>
      <c r="S84" s="99"/>
      <c r="T84" s="100"/>
      <c r="V84" s="99"/>
      <c r="W84" s="99"/>
      <c r="Y84" s="47"/>
    </row>
    <row r="85" spans="17:25" ht="15.75" customHeight="1" x14ac:dyDescent="0.25">
      <c r="Q85" s="99"/>
      <c r="R85" s="99"/>
      <c r="S85" s="99"/>
      <c r="T85" s="100"/>
      <c r="V85" s="99"/>
      <c r="W85" s="99"/>
      <c r="Y85" s="47"/>
    </row>
    <row r="86" spans="17:25" ht="15.75" customHeight="1" x14ac:dyDescent="0.25">
      <c r="Q86" s="99"/>
      <c r="R86" s="99"/>
      <c r="S86" s="99"/>
      <c r="T86" s="100"/>
      <c r="V86" s="99"/>
      <c r="W86" s="99"/>
      <c r="Y86" s="47"/>
    </row>
    <row r="87" spans="17:25" ht="15.75" customHeight="1" x14ac:dyDescent="0.25">
      <c r="Q87" s="99"/>
      <c r="R87" s="99"/>
      <c r="S87" s="99"/>
      <c r="T87" s="100"/>
      <c r="V87" s="99"/>
      <c r="W87" s="99"/>
      <c r="Y87" s="47"/>
    </row>
    <row r="88" spans="17:25" ht="15.75" customHeight="1" x14ac:dyDescent="0.25">
      <c r="Q88" s="99"/>
      <c r="R88" s="99"/>
      <c r="S88" s="99"/>
      <c r="T88" s="100"/>
      <c r="V88" s="99"/>
      <c r="W88" s="99"/>
      <c r="Y88" s="47"/>
    </row>
    <row r="89" spans="17:25" ht="15.75" customHeight="1" x14ac:dyDescent="0.25">
      <c r="Q89" s="99"/>
      <c r="R89" s="99"/>
      <c r="S89" s="99"/>
      <c r="T89" s="100"/>
      <c r="V89" s="99"/>
      <c r="W89" s="99"/>
      <c r="Y89" s="47"/>
    </row>
    <row r="90" spans="17:25" ht="15.75" customHeight="1" x14ac:dyDescent="0.25">
      <c r="Q90" s="99"/>
      <c r="R90" s="99"/>
      <c r="S90" s="99"/>
      <c r="T90" s="100"/>
      <c r="V90" s="99"/>
      <c r="W90" s="99"/>
      <c r="Y90" s="47"/>
    </row>
    <row r="91" spans="17:25" ht="15.75" customHeight="1" x14ac:dyDescent="0.25">
      <c r="Q91" s="99"/>
      <c r="R91" s="99"/>
      <c r="S91" s="99"/>
      <c r="T91" s="100"/>
      <c r="V91" s="99"/>
      <c r="W91" s="99"/>
      <c r="Y91" s="47"/>
    </row>
    <row r="92" spans="17:25" ht="15.75" customHeight="1" x14ac:dyDescent="0.25">
      <c r="Q92" s="99"/>
      <c r="R92" s="99"/>
      <c r="S92" s="99"/>
      <c r="T92" s="100"/>
      <c r="V92" s="99"/>
      <c r="W92" s="99"/>
      <c r="Y92" s="47"/>
    </row>
    <row r="93" spans="17:25" ht="15.75" customHeight="1" x14ac:dyDescent="0.25">
      <c r="Q93" s="99"/>
      <c r="R93" s="99"/>
      <c r="S93" s="99"/>
      <c r="T93" s="100"/>
      <c r="V93" s="99"/>
      <c r="W93" s="99"/>
      <c r="Y93" s="47"/>
    </row>
    <row r="94" spans="17:25" ht="15.75" customHeight="1" x14ac:dyDescent="0.25">
      <c r="Q94" s="99"/>
      <c r="R94" s="99"/>
      <c r="S94" s="99"/>
      <c r="T94" s="100"/>
      <c r="V94" s="99"/>
      <c r="W94" s="99"/>
      <c r="Y94" s="47"/>
    </row>
    <row r="95" spans="17:25" ht="15.75" customHeight="1" x14ac:dyDescent="0.25">
      <c r="Q95" s="99"/>
      <c r="R95" s="99"/>
      <c r="S95" s="99"/>
      <c r="T95" s="100"/>
      <c r="V95" s="99"/>
      <c r="W95" s="99"/>
      <c r="Y95" s="47"/>
    </row>
    <row r="96" spans="17:25" ht="15.75" customHeight="1" x14ac:dyDescent="0.25">
      <c r="Q96" s="99"/>
      <c r="R96" s="99"/>
      <c r="S96" s="99"/>
      <c r="T96" s="100"/>
      <c r="V96" s="99"/>
      <c r="W96" s="99"/>
      <c r="Y96" s="47"/>
    </row>
    <row r="97" spans="17:25" ht="15.75" customHeight="1" x14ac:dyDescent="0.25">
      <c r="Q97" s="99"/>
      <c r="R97" s="99"/>
      <c r="S97" s="99"/>
      <c r="T97" s="100"/>
      <c r="V97" s="99"/>
      <c r="W97" s="99"/>
      <c r="Y97" s="47"/>
    </row>
    <row r="98" spans="17:25" ht="15.75" customHeight="1" x14ac:dyDescent="0.25">
      <c r="Q98" s="99"/>
      <c r="R98" s="99"/>
      <c r="S98" s="99"/>
      <c r="T98" s="100"/>
      <c r="V98" s="99"/>
      <c r="W98" s="99"/>
      <c r="Y98" s="47"/>
    </row>
    <row r="99" spans="17:25" ht="15.75" customHeight="1" x14ac:dyDescent="0.25">
      <c r="Q99" s="99"/>
      <c r="R99" s="99"/>
      <c r="S99" s="99"/>
      <c r="T99" s="100"/>
      <c r="V99" s="99"/>
      <c r="W99" s="99"/>
      <c r="Y99" s="47"/>
    </row>
    <row r="100" spans="17:25" ht="15.75" customHeight="1" x14ac:dyDescent="0.25">
      <c r="Q100" s="99"/>
      <c r="R100" s="99"/>
      <c r="S100" s="99"/>
      <c r="T100" s="100"/>
      <c r="V100" s="99"/>
      <c r="W100" s="99"/>
      <c r="Y100" s="47"/>
    </row>
    <row r="101" spans="17:25" ht="15.75" customHeight="1" x14ac:dyDescent="0.25">
      <c r="Q101" s="99"/>
      <c r="R101" s="99"/>
      <c r="S101" s="99"/>
      <c r="T101" s="100"/>
      <c r="V101" s="99"/>
      <c r="W101" s="99"/>
      <c r="Y101" s="47"/>
    </row>
    <row r="102" spans="17:25" ht="15.75" customHeight="1" x14ac:dyDescent="0.25">
      <c r="Q102" s="99"/>
      <c r="R102" s="99"/>
      <c r="S102" s="99"/>
      <c r="T102" s="100"/>
      <c r="V102" s="99"/>
      <c r="W102" s="99"/>
      <c r="Y102" s="47"/>
    </row>
    <row r="103" spans="17:25" ht="15.75" customHeight="1" x14ac:dyDescent="0.25">
      <c r="Q103" s="99"/>
      <c r="R103" s="99"/>
      <c r="S103" s="99"/>
      <c r="T103" s="100"/>
      <c r="V103" s="99"/>
      <c r="W103" s="99"/>
      <c r="Y103" s="47"/>
    </row>
    <row r="104" spans="17:25" ht="15.75" customHeight="1" x14ac:dyDescent="0.25">
      <c r="Q104" s="99"/>
      <c r="R104" s="99"/>
      <c r="S104" s="99"/>
      <c r="T104" s="100"/>
      <c r="V104" s="99"/>
      <c r="W104" s="99"/>
      <c r="Y104" s="47"/>
    </row>
    <row r="105" spans="17:25" ht="15.75" customHeight="1" x14ac:dyDescent="0.25">
      <c r="Q105" s="99"/>
      <c r="R105" s="99"/>
      <c r="S105" s="99"/>
      <c r="T105" s="100"/>
      <c r="V105" s="99"/>
      <c r="W105" s="99"/>
      <c r="Y105" s="47"/>
    </row>
    <row r="106" spans="17:25" ht="15.75" customHeight="1" x14ac:dyDescent="0.25">
      <c r="Q106" s="99"/>
      <c r="R106" s="99"/>
      <c r="S106" s="99"/>
      <c r="T106" s="100"/>
      <c r="V106" s="99"/>
      <c r="W106" s="99"/>
      <c r="Y106" s="47"/>
    </row>
    <row r="107" spans="17:25" ht="15.75" customHeight="1" x14ac:dyDescent="0.25">
      <c r="Q107" s="99"/>
      <c r="R107" s="99"/>
      <c r="S107" s="99"/>
      <c r="T107" s="100"/>
      <c r="V107" s="99"/>
      <c r="W107" s="99"/>
      <c r="Y107" s="47"/>
    </row>
    <row r="108" spans="17:25" ht="15.75" customHeight="1" x14ac:dyDescent="0.25">
      <c r="Q108" s="99"/>
      <c r="R108" s="99"/>
      <c r="S108" s="99"/>
      <c r="T108" s="100"/>
      <c r="V108" s="99"/>
      <c r="W108" s="99"/>
      <c r="Y108" s="47"/>
    </row>
    <row r="109" spans="17:25" ht="15.75" customHeight="1" x14ac:dyDescent="0.25">
      <c r="Q109" s="99"/>
      <c r="R109" s="99"/>
      <c r="S109" s="99"/>
      <c r="T109" s="100"/>
      <c r="V109" s="99"/>
      <c r="W109" s="99"/>
      <c r="Y109" s="47"/>
    </row>
    <row r="110" spans="17:25" ht="15.75" customHeight="1" x14ac:dyDescent="0.25">
      <c r="Q110" s="99"/>
      <c r="R110" s="99"/>
      <c r="S110" s="99"/>
      <c r="T110" s="100"/>
      <c r="V110" s="99"/>
      <c r="W110" s="99"/>
      <c r="Y110" s="47"/>
    </row>
    <row r="111" spans="17:25" ht="15.75" customHeight="1" x14ac:dyDescent="0.25">
      <c r="Q111" s="99"/>
      <c r="R111" s="99"/>
      <c r="S111" s="99"/>
      <c r="T111" s="100"/>
      <c r="V111" s="99"/>
      <c r="W111" s="99"/>
      <c r="Y111" s="47"/>
    </row>
    <row r="112" spans="17:25" ht="15.75" customHeight="1" x14ac:dyDescent="0.25">
      <c r="Q112" s="99"/>
      <c r="R112" s="99"/>
      <c r="S112" s="99"/>
      <c r="T112" s="100"/>
      <c r="V112" s="99"/>
      <c r="W112" s="99"/>
      <c r="Y112" s="47"/>
    </row>
    <row r="113" spans="17:25" ht="15.75" customHeight="1" x14ac:dyDescent="0.25">
      <c r="Q113" s="99"/>
      <c r="R113" s="99"/>
      <c r="S113" s="99"/>
      <c r="T113" s="100"/>
      <c r="V113" s="99"/>
      <c r="W113" s="99"/>
      <c r="Y113" s="47"/>
    </row>
    <row r="114" spans="17:25" ht="15.75" customHeight="1" x14ac:dyDescent="0.25">
      <c r="Q114" s="99"/>
      <c r="R114" s="99"/>
      <c r="S114" s="99"/>
      <c r="T114" s="100"/>
      <c r="V114" s="99"/>
      <c r="W114" s="99"/>
      <c r="Y114" s="47"/>
    </row>
    <row r="115" spans="17:25" ht="15.75" customHeight="1" x14ac:dyDescent="0.25">
      <c r="Q115" s="99"/>
      <c r="R115" s="99"/>
      <c r="S115" s="99"/>
      <c r="T115" s="100"/>
      <c r="V115" s="99"/>
      <c r="W115" s="99"/>
      <c r="Y115" s="47"/>
    </row>
    <row r="116" spans="17:25" ht="15.75" customHeight="1" x14ac:dyDescent="0.25">
      <c r="Q116" s="99"/>
      <c r="R116" s="99"/>
      <c r="S116" s="99"/>
      <c r="T116" s="100"/>
      <c r="V116" s="99"/>
      <c r="W116" s="99"/>
      <c r="Y116" s="47"/>
    </row>
    <row r="117" spans="17:25" ht="15.75" customHeight="1" x14ac:dyDescent="0.25">
      <c r="Q117" s="99"/>
      <c r="R117" s="99"/>
      <c r="S117" s="99"/>
      <c r="T117" s="100"/>
      <c r="V117" s="99"/>
      <c r="W117" s="99"/>
      <c r="Y117" s="47"/>
    </row>
    <row r="118" spans="17:25" ht="15.75" customHeight="1" x14ac:dyDescent="0.25">
      <c r="Q118" s="99"/>
      <c r="R118" s="99"/>
      <c r="S118" s="99"/>
      <c r="T118" s="100"/>
      <c r="V118" s="99"/>
      <c r="W118" s="99"/>
      <c r="Y118" s="47"/>
    </row>
    <row r="119" spans="17:25" ht="15.75" customHeight="1" x14ac:dyDescent="0.25">
      <c r="Q119" s="99"/>
      <c r="R119" s="99"/>
      <c r="S119" s="99"/>
      <c r="T119" s="100"/>
      <c r="V119" s="99"/>
      <c r="W119" s="99"/>
      <c r="Y119" s="47"/>
    </row>
    <row r="120" spans="17:25" ht="15.75" customHeight="1" x14ac:dyDescent="0.25">
      <c r="Q120" s="99"/>
      <c r="R120" s="99"/>
      <c r="S120" s="99"/>
      <c r="T120" s="100"/>
      <c r="V120" s="99"/>
      <c r="W120" s="99"/>
      <c r="Y120" s="47"/>
    </row>
    <row r="121" spans="17:25" ht="15.75" customHeight="1" x14ac:dyDescent="0.25">
      <c r="Q121" s="99"/>
      <c r="R121" s="99"/>
      <c r="S121" s="99"/>
      <c r="T121" s="100"/>
      <c r="V121" s="99"/>
      <c r="W121" s="99"/>
      <c r="Y121" s="47"/>
    </row>
    <row r="122" spans="17:25" ht="15.75" customHeight="1" x14ac:dyDescent="0.25">
      <c r="Q122" s="99"/>
      <c r="R122" s="99"/>
      <c r="S122" s="99"/>
      <c r="T122" s="100"/>
      <c r="V122" s="99"/>
      <c r="W122" s="99"/>
      <c r="Y122" s="47"/>
    </row>
    <row r="123" spans="17:25" ht="15.75" customHeight="1" x14ac:dyDescent="0.25">
      <c r="Q123" s="99"/>
      <c r="R123" s="99"/>
      <c r="S123" s="99"/>
      <c r="T123" s="100"/>
      <c r="V123" s="99"/>
      <c r="W123" s="99"/>
      <c r="Y123" s="47"/>
    </row>
    <row r="124" spans="17:25" ht="15.75" customHeight="1" x14ac:dyDescent="0.25">
      <c r="Q124" s="99"/>
      <c r="R124" s="99"/>
      <c r="S124" s="99"/>
      <c r="T124" s="100"/>
      <c r="V124" s="99"/>
      <c r="W124" s="99"/>
      <c r="Y124" s="47"/>
    </row>
    <row r="125" spans="17:25" ht="15.75" customHeight="1" x14ac:dyDescent="0.25">
      <c r="Q125" s="99"/>
      <c r="R125" s="99"/>
      <c r="S125" s="99"/>
      <c r="T125" s="100"/>
      <c r="V125" s="99"/>
      <c r="W125" s="99"/>
      <c r="Y125" s="47"/>
    </row>
    <row r="126" spans="17:25" ht="15.75" customHeight="1" x14ac:dyDescent="0.25">
      <c r="Q126" s="99"/>
      <c r="R126" s="99"/>
      <c r="S126" s="99"/>
      <c r="T126" s="100"/>
      <c r="V126" s="99"/>
      <c r="W126" s="99"/>
      <c r="Y126" s="47"/>
    </row>
    <row r="127" spans="17:25" ht="15.75" customHeight="1" x14ac:dyDescent="0.25">
      <c r="Q127" s="99"/>
      <c r="R127" s="99"/>
      <c r="S127" s="99"/>
      <c r="T127" s="100"/>
      <c r="V127" s="99"/>
      <c r="W127" s="99"/>
      <c r="Y127" s="47"/>
    </row>
    <row r="128" spans="17:25" ht="15.75" customHeight="1" x14ac:dyDescent="0.25">
      <c r="Q128" s="99"/>
      <c r="R128" s="99"/>
      <c r="S128" s="99"/>
      <c r="T128" s="100"/>
      <c r="V128" s="99"/>
      <c r="W128" s="99"/>
      <c r="Y128" s="47"/>
    </row>
    <row r="129" spans="17:25" ht="15.75" customHeight="1" x14ac:dyDescent="0.25">
      <c r="Q129" s="99"/>
      <c r="R129" s="99"/>
      <c r="S129" s="99"/>
      <c r="T129" s="100"/>
      <c r="V129" s="99"/>
      <c r="W129" s="99"/>
      <c r="Y129" s="47"/>
    </row>
    <row r="130" spans="17:25" ht="15.75" customHeight="1" x14ac:dyDescent="0.25">
      <c r="Q130" s="99"/>
      <c r="R130" s="99"/>
      <c r="S130" s="99"/>
      <c r="T130" s="100"/>
      <c r="V130" s="99"/>
      <c r="W130" s="99"/>
      <c r="Y130" s="47"/>
    </row>
    <row r="131" spans="17:25" ht="15.75" customHeight="1" x14ac:dyDescent="0.25">
      <c r="Q131" s="99"/>
      <c r="R131" s="99"/>
      <c r="S131" s="99"/>
      <c r="T131" s="100"/>
      <c r="V131" s="99"/>
      <c r="W131" s="99"/>
      <c r="Y131" s="47"/>
    </row>
    <row r="132" spans="17:25" ht="15.75" customHeight="1" x14ac:dyDescent="0.25">
      <c r="Q132" s="99"/>
      <c r="R132" s="99"/>
      <c r="S132" s="99"/>
      <c r="T132" s="100"/>
      <c r="V132" s="99"/>
      <c r="W132" s="99"/>
      <c r="Y132" s="47"/>
    </row>
    <row r="133" spans="17:25" ht="15.75" customHeight="1" x14ac:dyDescent="0.25">
      <c r="Q133" s="99"/>
      <c r="R133" s="99"/>
      <c r="S133" s="99"/>
      <c r="T133" s="100"/>
      <c r="V133" s="99"/>
      <c r="W133" s="99"/>
      <c r="Y133" s="47"/>
    </row>
    <row r="134" spans="17:25" ht="15.75" customHeight="1" x14ac:dyDescent="0.25">
      <c r="Q134" s="99"/>
      <c r="R134" s="99"/>
      <c r="S134" s="99"/>
      <c r="T134" s="100"/>
      <c r="V134" s="99"/>
      <c r="W134" s="99"/>
      <c r="Y134" s="47"/>
    </row>
    <row r="135" spans="17:25" ht="15.75" customHeight="1" x14ac:dyDescent="0.25">
      <c r="Q135" s="99"/>
      <c r="R135" s="99"/>
      <c r="S135" s="99"/>
      <c r="T135" s="100"/>
      <c r="V135" s="99"/>
      <c r="W135" s="99"/>
      <c r="Y135" s="47"/>
    </row>
    <row r="136" spans="17:25" ht="15.75" customHeight="1" x14ac:dyDescent="0.25">
      <c r="Q136" s="99"/>
      <c r="R136" s="99"/>
      <c r="S136" s="99"/>
      <c r="T136" s="100"/>
      <c r="V136" s="99"/>
      <c r="W136" s="99"/>
      <c r="Y136" s="47"/>
    </row>
    <row r="137" spans="17:25" ht="15.75" customHeight="1" x14ac:dyDescent="0.25">
      <c r="Q137" s="99"/>
      <c r="R137" s="99"/>
      <c r="S137" s="99"/>
      <c r="T137" s="100"/>
      <c r="V137" s="99"/>
      <c r="W137" s="99"/>
      <c r="Y137" s="47"/>
    </row>
    <row r="138" spans="17:25" ht="15.75" customHeight="1" x14ac:dyDescent="0.25">
      <c r="Q138" s="99"/>
      <c r="R138" s="99"/>
      <c r="S138" s="99"/>
      <c r="T138" s="100"/>
      <c r="V138" s="99"/>
      <c r="W138" s="99"/>
      <c r="Y138" s="47"/>
    </row>
    <row r="139" spans="17:25" ht="15.75" customHeight="1" x14ac:dyDescent="0.25">
      <c r="Q139" s="99"/>
      <c r="R139" s="99"/>
      <c r="S139" s="99"/>
      <c r="T139" s="100"/>
      <c r="V139" s="99"/>
      <c r="W139" s="99"/>
      <c r="Y139" s="47"/>
    </row>
    <row r="140" spans="17:25" ht="15.75" customHeight="1" x14ac:dyDescent="0.25">
      <c r="Q140" s="99"/>
      <c r="R140" s="99"/>
      <c r="S140" s="99"/>
      <c r="T140" s="100"/>
      <c r="V140" s="99"/>
      <c r="W140" s="99"/>
      <c r="Y140" s="47"/>
    </row>
    <row r="141" spans="17:25" ht="15.75" customHeight="1" x14ac:dyDescent="0.25">
      <c r="Q141" s="99"/>
      <c r="R141" s="99"/>
      <c r="S141" s="99"/>
      <c r="T141" s="100"/>
      <c r="V141" s="99"/>
      <c r="W141" s="99"/>
      <c r="Y141" s="47"/>
    </row>
    <row r="142" spans="17:25" ht="15.75" customHeight="1" x14ac:dyDescent="0.25">
      <c r="Q142" s="99"/>
      <c r="R142" s="99"/>
      <c r="S142" s="99"/>
      <c r="T142" s="100"/>
      <c r="V142" s="99"/>
      <c r="W142" s="99"/>
      <c r="Y142" s="47"/>
    </row>
    <row r="143" spans="17:25" ht="15.75" customHeight="1" x14ac:dyDescent="0.25">
      <c r="Q143" s="99"/>
      <c r="R143" s="99"/>
      <c r="S143" s="99"/>
      <c r="T143" s="100"/>
      <c r="V143" s="99"/>
      <c r="W143" s="99"/>
      <c r="Y143" s="47"/>
    </row>
    <row r="144" spans="17:25" ht="15.75" customHeight="1" x14ac:dyDescent="0.25">
      <c r="Q144" s="99"/>
      <c r="R144" s="99"/>
      <c r="S144" s="99"/>
      <c r="T144" s="100"/>
      <c r="V144" s="99"/>
      <c r="W144" s="99"/>
      <c r="Y144" s="47"/>
    </row>
    <row r="145" spans="17:25" ht="15.75" customHeight="1" x14ac:dyDescent="0.25">
      <c r="Q145" s="99"/>
      <c r="R145" s="99"/>
      <c r="S145" s="99"/>
      <c r="T145" s="100"/>
      <c r="V145" s="99"/>
      <c r="W145" s="99"/>
      <c r="Y145" s="47"/>
    </row>
    <row r="146" spans="17:25" ht="15.75" customHeight="1" x14ac:dyDescent="0.25">
      <c r="Q146" s="99"/>
      <c r="R146" s="99"/>
      <c r="S146" s="99"/>
      <c r="T146" s="100"/>
      <c r="V146" s="99"/>
      <c r="W146" s="99"/>
      <c r="Y146" s="47"/>
    </row>
    <row r="147" spans="17:25" ht="15.75" customHeight="1" x14ac:dyDescent="0.25">
      <c r="Q147" s="99"/>
      <c r="R147" s="99"/>
      <c r="S147" s="99"/>
      <c r="T147" s="100"/>
      <c r="V147" s="99"/>
      <c r="W147" s="99"/>
      <c r="Y147" s="47"/>
    </row>
    <row r="148" spans="17:25" ht="15.75" customHeight="1" x14ac:dyDescent="0.25">
      <c r="Q148" s="99"/>
      <c r="R148" s="99"/>
      <c r="S148" s="99"/>
      <c r="T148" s="100"/>
      <c r="V148" s="99"/>
      <c r="W148" s="99"/>
      <c r="Y148" s="47"/>
    </row>
    <row r="149" spans="17:25" ht="15.75" customHeight="1" x14ac:dyDescent="0.25">
      <c r="Q149" s="99"/>
      <c r="R149" s="99"/>
      <c r="S149" s="99"/>
      <c r="T149" s="100"/>
      <c r="V149" s="99"/>
      <c r="W149" s="99"/>
      <c r="Y149" s="47"/>
    </row>
    <row r="150" spans="17:25" ht="15.75" customHeight="1" x14ac:dyDescent="0.25">
      <c r="Q150" s="99"/>
      <c r="R150" s="99"/>
      <c r="S150" s="99"/>
      <c r="T150" s="100"/>
      <c r="V150" s="99"/>
      <c r="W150" s="99"/>
      <c r="Y150" s="47"/>
    </row>
    <row r="151" spans="17:25" ht="15.75" customHeight="1" x14ac:dyDescent="0.25">
      <c r="Q151" s="99"/>
      <c r="R151" s="99"/>
      <c r="S151" s="99"/>
      <c r="T151" s="100"/>
      <c r="V151" s="99"/>
      <c r="W151" s="99"/>
      <c r="Y151" s="47"/>
    </row>
    <row r="152" spans="17:25" ht="15.75" customHeight="1" x14ac:dyDescent="0.25">
      <c r="Q152" s="99"/>
      <c r="R152" s="99"/>
      <c r="S152" s="99"/>
      <c r="T152" s="100"/>
      <c r="V152" s="99"/>
      <c r="W152" s="99"/>
      <c r="Y152" s="47"/>
    </row>
    <row r="153" spans="17:25" ht="15.75" customHeight="1" x14ac:dyDescent="0.25">
      <c r="Q153" s="99"/>
      <c r="R153" s="99"/>
      <c r="S153" s="99"/>
      <c r="T153" s="100"/>
      <c r="V153" s="99"/>
      <c r="W153" s="99"/>
      <c r="Y153" s="47"/>
    </row>
    <row r="154" spans="17:25" ht="15.75" customHeight="1" x14ac:dyDescent="0.25">
      <c r="Q154" s="99"/>
      <c r="R154" s="99"/>
      <c r="S154" s="99"/>
      <c r="T154" s="100"/>
      <c r="V154" s="99"/>
      <c r="W154" s="99"/>
      <c r="Y154" s="47"/>
    </row>
    <row r="155" spans="17:25" ht="15.75" customHeight="1" x14ac:dyDescent="0.25">
      <c r="Q155" s="99"/>
      <c r="R155" s="99"/>
      <c r="S155" s="99"/>
      <c r="T155" s="100"/>
      <c r="V155" s="99"/>
      <c r="W155" s="99"/>
      <c r="Y155" s="47"/>
    </row>
    <row r="156" spans="17:25" ht="15.75" customHeight="1" x14ac:dyDescent="0.25">
      <c r="Q156" s="99"/>
      <c r="R156" s="99"/>
      <c r="S156" s="99"/>
      <c r="T156" s="100"/>
      <c r="V156" s="99"/>
      <c r="W156" s="99"/>
      <c r="Y156" s="47"/>
    </row>
    <row r="157" spans="17:25" ht="15.75" customHeight="1" x14ac:dyDescent="0.25">
      <c r="Q157" s="99"/>
      <c r="R157" s="99"/>
      <c r="S157" s="99"/>
      <c r="T157" s="100"/>
      <c r="V157" s="99"/>
      <c r="W157" s="99"/>
      <c r="Y157" s="47"/>
    </row>
    <row r="158" spans="17:25" ht="15.75" customHeight="1" x14ac:dyDescent="0.25">
      <c r="Q158" s="99"/>
      <c r="R158" s="99"/>
      <c r="S158" s="99"/>
      <c r="T158" s="100"/>
      <c r="V158" s="99"/>
      <c r="W158" s="99"/>
      <c r="Y158" s="47"/>
    </row>
    <row r="159" spans="17:25" ht="15.75" customHeight="1" x14ac:dyDescent="0.25">
      <c r="Q159" s="99"/>
      <c r="R159" s="99"/>
      <c r="S159" s="99"/>
      <c r="T159" s="100"/>
      <c r="V159" s="99"/>
      <c r="W159" s="99"/>
      <c r="Y159" s="47"/>
    </row>
    <row r="160" spans="17:25" ht="15.75" customHeight="1" x14ac:dyDescent="0.25">
      <c r="Q160" s="99"/>
      <c r="R160" s="99"/>
      <c r="S160" s="99"/>
      <c r="T160" s="100"/>
      <c r="V160" s="99"/>
      <c r="W160" s="99"/>
      <c r="Y160" s="47"/>
    </row>
    <row r="161" spans="17:25" ht="15.75" customHeight="1" x14ac:dyDescent="0.25">
      <c r="Q161" s="99"/>
      <c r="R161" s="99"/>
      <c r="S161" s="99"/>
      <c r="T161" s="100"/>
      <c r="V161" s="99"/>
      <c r="W161" s="99"/>
      <c r="Y161" s="47"/>
    </row>
    <row r="162" spans="17:25" ht="15.75" customHeight="1" x14ac:dyDescent="0.25">
      <c r="Q162" s="99"/>
      <c r="R162" s="99"/>
      <c r="S162" s="99"/>
      <c r="T162" s="100"/>
      <c r="V162" s="99"/>
      <c r="W162" s="99"/>
      <c r="Y162" s="47"/>
    </row>
    <row r="163" spans="17:25" ht="15.75" customHeight="1" x14ac:dyDescent="0.25">
      <c r="Q163" s="99"/>
      <c r="R163" s="99"/>
      <c r="S163" s="99"/>
      <c r="T163" s="100"/>
      <c r="V163" s="99"/>
      <c r="W163" s="99"/>
      <c r="Y163" s="47"/>
    </row>
    <row r="164" spans="17:25" ht="15.75" customHeight="1" x14ac:dyDescent="0.25">
      <c r="Q164" s="99"/>
      <c r="R164" s="99"/>
      <c r="S164" s="99"/>
      <c r="T164" s="100"/>
      <c r="V164" s="99"/>
      <c r="W164" s="99"/>
      <c r="Y164" s="47"/>
    </row>
    <row r="165" spans="17:25" ht="15.75" customHeight="1" x14ac:dyDescent="0.25">
      <c r="Q165" s="99"/>
      <c r="R165" s="99"/>
      <c r="S165" s="99"/>
      <c r="T165" s="100"/>
      <c r="V165" s="99"/>
      <c r="W165" s="99"/>
      <c r="Y165" s="47"/>
    </row>
    <row r="166" spans="17:25" ht="15.75" customHeight="1" x14ac:dyDescent="0.25">
      <c r="Q166" s="99"/>
      <c r="R166" s="99"/>
      <c r="S166" s="99"/>
      <c r="T166" s="100"/>
      <c r="V166" s="99"/>
      <c r="W166" s="99"/>
      <c r="Y166" s="47"/>
    </row>
    <row r="167" spans="17:25" ht="15.75" customHeight="1" x14ac:dyDescent="0.25">
      <c r="Q167" s="99"/>
      <c r="R167" s="99"/>
      <c r="S167" s="99"/>
      <c r="T167" s="100"/>
      <c r="V167" s="99"/>
      <c r="W167" s="99"/>
      <c r="Y167" s="47"/>
    </row>
    <row r="168" spans="17:25" ht="15.75" customHeight="1" x14ac:dyDescent="0.25">
      <c r="Q168" s="99"/>
      <c r="R168" s="99"/>
      <c r="S168" s="99"/>
      <c r="T168" s="100"/>
      <c r="V168" s="99"/>
      <c r="W168" s="99"/>
      <c r="Y168" s="47"/>
    </row>
    <row r="169" spans="17:25" ht="15.75" customHeight="1" x14ac:dyDescent="0.25">
      <c r="Q169" s="99"/>
      <c r="R169" s="99"/>
      <c r="S169" s="99"/>
      <c r="T169" s="100"/>
      <c r="V169" s="99"/>
      <c r="W169" s="99"/>
      <c r="Y169" s="47"/>
    </row>
    <row r="170" spans="17:25" ht="15.75" customHeight="1" x14ac:dyDescent="0.25">
      <c r="Q170" s="99"/>
      <c r="R170" s="99"/>
      <c r="S170" s="99"/>
      <c r="T170" s="100"/>
      <c r="V170" s="99"/>
      <c r="W170" s="99"/>
      <c r="Y170" s="47"/>
    </row>
    <row r="171" spans="17:25" ht="15.75" customHeight="1" x14ac:dyDescent="0.25">
      <c r="Q171" s="99"/>
      <c r="R171" s="99"/>
      <c r="S171" s="99"/>
      <c r="T171" s="100"/>
      <c r="V171" s="99"/>
      <c r="W171" s="99"/>
      <c r="Y171" s="47"/>
    </row>
    <row r="172" spans="17:25" ht="15.75" customHeight="1" x14ac:dyDescent="0.25">
      <c r="Q172" s="99"/>
      <c r="R172" s="99"/>
      <c r="S172" s="99"/>
      <c r="T172" s="100"/>
      <c r="V172" s="99"/>
      <c r="W172" s="99"/>
      <c r="Y172" s="47"/>
    </row>
    <row r="173" spans="17:25" ht="15.75" customHeight="1" x14ac:dyDescent="0.25">
      <c r="Q173" s="99"/>
      <c r="R173" s="99"/>
      <c r="S173" s="99"/>
      <c r="T173" s="100"/>
      <c r="V173" s="99"/>
      <c r="W173" s="99"/>
      <c r="Y173" s="47"/>
    </row>
    <row r="174" spans="17:25" ht="15.75" customHeight="1" x14ac:dyDescent="0.25">
      <c r="Q174" s="99"/>
      <c r="R174" s="99"/>
      <c r="S174" s="99"/>
      <c r="T174" s="100"/>
      <c r="V174" s="99"/>
      <c r="W174" s="99"/>
      <c r="Y174" s="47"/>
    </row>
    <row r="175" spans="17:25" ht="15.75" customHeight="1" x14ac:dyDescent="0.25">
      <c r="Q175" s="99"/>
      <c r="R175" s="99"/>
      <c r="S175" s="99"/>
      <c r="T175" s="100"/>
      <c r="V175" s="99"/>
      <c r="W175" s="99"/>
      <c r="Y175" s="47"/>
    </row>
    <row r="176" spans="17:25" ht="15.75" customHeight="1" x14ac:dyDescent="0.25">
      <c r="Q176" s="99"/>
      <c r="R176" s="99"/>
      <c r="S176" s="99"/>
      <c r="T176" s="100"/>
      <c r="V176" s="99"/>
      <c r="W176" s="99"/>
      <c r="Y176" s="47"/>
    </row>
    <row r="177" spans="17:25" ht="15.75" customHeight="1" x14ac:dyDescent="0.25">
      <c r="Q177" s="99"/>
      <c r="R177" s="99"/>
      <c r="S177" s="99"/>
      <c r="T177" s="100"/>
      <c r="V177" s="99"/>
      <c r="W177" s="99"/>
      <c r="Y177" s="47"/>
    </row>
    <row r="178" spans="17:25" ht="15.75" customHeight="1" x14ac:dyDescent="0.25">
      <c r="Q178" s="99"/>
      <c r="R178" s="99"/>
      <c r="S178" s="99"/>
      <c r="T178" s="100"/>
      <c r="V178" s="99"/>
      <c r="W178" s="99"/>
      <c r="Y178" s="47"/>
    </row>
    <row r="179" spans="17:25" ht="15.75" customHeight="1" x14ac:dyDescent="0.25">
      <c r="Q179" s="99"/>
      <c r="R179" s="99"/>
      <c r="S179" s="99"/>
      <c r="T179" s="100"/>
      <c r="V179" s="99"/>
      <c r="W179" s="99"/>
      <c r="Y179" s="47"/>
    </row>
    <row r="180" spans="17:25" ht="15.75" customHeight="1" x14ac:dyDescent="0.25">
      <c r="Q180" s="99"/>
      <c r="R180" s="99"/>
      <c r="S180" s="99"/>
      <c r="T180" s="100"/>
      <c r="V180" s="99"/>
      <c r="W180" s="99"/>
      <c r="Y180" s="47"/>
    </row>
    <row r="181" spans="17:25" ht="15.75" customHeight="1" x14ac:dyDescent="0.25">
      <c r="Q181" s="99"/>
      <c r="R181" s="99"/>
      <c r="S181" s="99"/>
      <c r="T181" s="100"/>
      <c r="V181" s="99"/>
      <c r="W181" s="99"/>
      <c r="Y181" s="47"/>
    </row>
    <row r="182" spans="17:25" ht="15.75" customHeight="1" x14ac:dyDescent="0.25">
      <c r="Q182" s="99"/>
      <c r="R182" s="99"/>
      <c r="S182" s="99"/>
      <c r="T182" s="100"/>
      <c r="V182" s="99"/>
      <c r="W182" s="99"/>
      <c r="Y182" s="47"/>
    </row>
    <row r="183" spans="17:25" ht="15.75" customHeight="1" x14ac:dyDescent="0.25">
      <c r="Q183" s="99"/>
      <c r="R183" s="99"/>
      <c r="S183" s="99"/>
      <c r="T183" s="100"/>
      <c r="V183" s="99"/>
      <c r="W183" s="99"/>
      <c r="Y183" s="47"/>
    </row>
    <row r="184" spans="17:25" ht="15.75" customHeight="1" x14ac:dyDescent="0.25">
      <c r="Q184" s="99"/>
      <c r="R184" s="99"/>
      <c r="S184" s="99"/>
      <c r="T184" s="100"/>
      <c r="V184" s="99"/>
      <c r="W184" s="99"/>
      <c r="Y184" s="47"/>
    </row>
    <row r="185" spans="17:25" ht="15.75" customHeight="1" x14ac:dyDescent="0.25">
      <c r="Q185" s="99"/>
      <c r="R185" s="99"/>
      <c r="S185" s="99"/>
      <c r="T185" s="100"/>
      <c r="V185" s="99"/>
      <c r="W185" s="99"/>
      <c r="Y185" s="47"/>
    </row>
    <row r="186" spans="17:25" ht="15.75" customHeight="1" x14ac:dyDescent="0.25">
      <c r="Q186" s="99"/>
      <c r="R186" s="99"/>
      <c r="S186" s="99"/>
      <c r="T186" s="100"/>
      <c r="V186" s="99"/>
      <c r="W186" s="99"/>
      <c r="Y186" s="47"/>
    </row>
    <row r="187" spans="17:25" ht="15.75" customHeight="1" x14ac:dyDescent="0.25">
      <c r="Q187" s="99"/>
      <c r="R187" s="99"/>
      <c r="S187" s="99"/>
      <c r="T187" s="100"/>
      <c r="V187" s="99"/>
      <c r="W187" s="99"/>
      <c r="Y187" s="47"/>
    </row>
    <row r="188" spans="17:25" ht="15.75" customHeight="1" x14ac:dyDescent="0.25">
      <c r="Q188" s="99"/>
      <c r="R188" s="99"/>
      <c r="S188" s="99"/>
      <c r="T188" s="100"/>
      <c r="V188" s="99"/>
      <c r="W188" s="99"/>
      <c r="Y188" s="47"/>
    </row>
    <row r="189" spans="17:25" ht="15.75" customHeight="1" x14ac:dyDescent="0.25">
      <c r="Q189" s="99"/>
      <c r="R189" s="99"/>
      <c r="S189" s="99"/>
      <c r="T189" s="100"/>
      <c r="V189" s="99"/>
      <c r="W189" s="99"/>
      <c r="Y189" s="47"/>
    </row>
    <row r="190" spans="17:25" ht="15.75" customHeight="1" x14ac:dyDescent="0.25">
      <c r="Q190" s="99"/>
      <c r="R190" s="99"/>
      <c r="S190" s="99"/>
      <c r="T190" s="100"/>
      <c r="V190" s="99"/>
      <c r="W190" s="99"/>
      <c r="Y190" s="47"/>
    </row>
    <row r="191" spans="17:25" ht="15.75" customHeight="1" x14ac:dyDescent="0.25">
      <c r="Q191" s="99"/>
      <c r="R191" s="99"/>
      <c r="S191" s="99"/>
      <c r="T191" s="100"/>
      <c r="V191" s="99"/>
      <c r="W191" s="99"/>
      <c r="Y191" s="47"/>
    </row>
    <row r="192" spans="17:25" ht="15.75" customHeight="1" x14ac:dyDescent="0.25">
      <c r="Q192" s="99"/>
      <c r="R192" s="99"/>
      <c r="S192" s="99"/>
      <c r="T192" s="100"/>
      <c r="V192" s="99"/>
      <c r="W192" s="99"/>
      <c r="Y192" s="47"/>
    </row>
    <row r="193" spans="17:25" ht="15.75" customHeight="1" x14ac:dyDescent="0.25">
      <c r="Q193" s="99"/>
      <c r="R193" s="99"/>
      <c r="S193" s="99"/>
      <c r="T193" s="100"/>
      <c r="V193" s="99"/>
      <c r="W193" s="99"/>
      <c r="Y193" s="47"/>
    </row>
    <row r="194" spans="17:25" ht="15.75" customHeight="1" x14ac:dyDescent="0.25">
      <c r="Q194" s="99"/>
      <c r="R194" s="99"/>
      <c r="S194" s="99"/>
      <c r="T194" s="100"/>
      <c r="V194" s="99"/>
      <c r="W194" s="99"/>
      <c r="Y194" s="47"/>
    </row>
    <row r="195" spans="17:25" ht="15.75" customHeight="1" x14ac:dyDescent="0.25">
      <c r="Q195" s="99"/>
      <c r="R195" s="99"/>
      <c r="S195" s="99"/>
      <c r="T195" s="100"/>
      <c r="V195" s="99"/>
      <c r="W195" s="99"/>
      <c r="Y195" s="47"/>
    </row>
    <row r="196" spans="17:25" ht="15.75" customHeight="1" x14ac:dyDescent="0.25">
      <c r="Q196" s="99"/>
      <c r="R196" s="99"/>
      <c r="S196" s="99"/>
      <c r="T196" s="100"/>
      <c r="V196" s="99"/>
      <c r="W196" s="99"/>
      <c r="Y196" s="47"/>
    </row>
    <row r="197" spans="17:25" ht="15.75" customHeight="1" x14ac:dyDescent="0.25">
      <c r="Q197" s="99"/>
      <c r="R197" s="99"/>
      <c r="S197" s="99"/>
      <c r="T197" s="100"/>
      <c r="V197" s="99"/>
      <c r="W197" s="99"/>
      <c r="Y197" s="47"/>
    </row>
    <row r="198" spans="17:25" ht="15.75" customHeight="1" x14ac:dyDescent="0.25">
      <c r="Q198" s="99"/>
      <c r="R198" s="99"/>
      <c r="S198" s="99"/>
      <c r="T198" s="100"/>
      <c r="V198" s="99"/>
      <c r="W198" s="99"/>
      <c r="Y198" s="47"/>
    </row>
    <row r="199" spans="17:25" ht="15.75" customHeight="1" x14ac:dyDescent="0.25">
      <c r="Q199" s="99"/>
      <c r="R199" s="99"/>
      <c r="S199" s="99"/>
      <c r="T199" s="100"/>
      <c r="V199" s="99"/>
      <c r="W199" s="99"/>
      <c r="Y199" s="47"/>
    </row>
    <row r="200" spans="17:25" ht="15.75" customHeight="1" x14ac:dyDescent="0.25">
      <c r="Q200" s="99"/>
      <c r="R200" s="99"/>
      <c r="S200" s="99"/>
      <c r="T200" s="100"/>
      <c r="V200" s="99"/>
      <c r="W200" s="99"/>
      <c r="Y200" s="47"/>
    </row>
    <row r="201" spans="17:25" ht="15.75" customHeight="1" x14ac:dyDescent="0.25">
      <c r="Q201" s="99"/>
      <c r="R201" s="99"/>
      <c r="S201" s="99"/>
      <c r="T201" s="100"/>
      <c r="V201" s="99"/>
      <c r="W201" s="99"/>
      <c r="Y201" s="47"/>
    </row>
    <row r="202" spans="17:25" ht="15.75" customHeight="1" x14ac:dyDescent="0.25">
      <c r="Q202" s="99"/>
      <c r="R202" s="99"/>
      <c r="S202" s="99"/>
      <c r="T202" s="100"/>
      <c r="V202" s="99"/>
      <c r="W202" s="99"/>
      <c r="Y202" s="47"/>
    </row>
    <row r="203" spans="17:25" ht="15.75" customHeight="1" x14ac:dyDescent="0.25">
      <c r="Q203" s="99"/>
      <c r="R203" s="99"/>
      <c r="S203" s="99"/>
      <c r="T203" s="100"/>
      <c r="V203" s="99"/>
      <c r="W203" s="99"/>
      <c r="Y203" s="47"/>
    </row>
    <row r="204" spans="17:25" ht="15.75" customHeight="1" x14ac:dyDescent="0.25">
      <c r="Q204" s="99"/>
      <c r="R204" s="99"/>
      <c r="S204" s="99"/>
      <c r="T204" s="100"/>
      <c r="V204" s="99"/>
      <c r="W204" s="99"/>
      <c r="Y204" s="47"/>
    </row>
    <row r="205" spans="17:25" ht="15.75" customHeight="1" x14ac:dyDescent="0.25">
      <c r="Q205" s="99"/>
      <c r="R205" s="99"/>
      <c r="S205" s="99"/>
      <c r="T205" s="100"/>
      <c r="V205" s="99"/>
      <c r="W205" s="99"/>
      <c r="Y205" s="47"/>
    </row>
    <row r="206" spans="17:25" ht="15.75" customHeight="1" x14ac:dyDescent="0.25">
      <c r="Q206" s="99"/>
      <c r="R206" s="99"/>
      <c r="S206" s="99"/>
      <c r="T206" s="100"/>
      <c r="V206" s="99"/>
      <c r="W206" s="99"/>
      <c r="Y206" s="47"/>
    </row>
    <row r="207" spans="17:25" ht="15.75" customHeight="1" x14ac:dyDescent="0.25">
      <c r="Q207" s="99"/>
      <c r="R207" s="99"/>
      <c r="S207" s="99"/>
      <c r="T207" s="100"/>
      <c r="V207" s="99"/>
      <c r="W207" s="99"/>
      <c r="Y207" s="47"/>
    </row>
    <row r="208" spans="17:25" ht="15.75" customHeight="1" x14ac:dyDescent="0.25">
      <c r="Q208" s="99"/>
      <c r="R208" s="99"/>
      <c r="S208" s="99"/>
      <c r="T208" s="100"/>
      <c r="V208" s="99"/>
      <c r="W208" s="99"/>
      <c r="Y208" s="47"/>
    </row>
    <row r="209" spans="17:25" ht="15.75" customHeight="1" x14ac:dyDescent="0.25">
      <c r="Q209" s="99"/>
      <c r="R209" s="99"/>
      <c r="S209" s="99"/>
      <c r="T209" s="100"/>
      <c r="V209" s="99"/>
      <c r="W209" s="99"/>
      <c r="Y209" s="47"/>
    </row>
    <row r="210" spans="17:25" ht="15.75" customHeight="1" x14ac:dyDescent="0.25">
      <c r="Q210" s="99"/>
      <c r="R210" s="99"/>
      <c r="S210" s="99"/>
      <c r="T210" s="100"/>
      <c r="V210" s="99"/>
      <c r="W210" s="99"/>
      <c r="Y210" s="47"/>
    </row>
    <row r="211" spans="17:25" ht="15.75" customHeight="1" x14ac:dyDescent="0.25">
      <c r="Q211" s="99"/>
      <c r="R211" s="99"/>
      <c r="S211" s="99"/>
      <c r="T211" s="100"/>
      <c r="V211" s="99"/>
      <c r="W211" s="99"/>
      <c r="Y211" s="47"/>
    </row>
    <row r="212" spans="17:25" ht="15.75" customHeight="1" x14ac:dyDescent="0.25">
      <c r="Q212" s="99"/>
      <c r="R212" s="99"/>
      <c r="S212" s="99"/>
      <c r="T212" s="100"/>
      <c r="V212" s="99"/>
      <c r="W212" s="99"/>
      <c r="Y212" s="47"/>
    </row>
    <row r="213" spans="17:25" ht="15.75" customHeight="1" x14ac:dyDescent="0.25">
      <c r="Q213" s="99"/>
      <c r="R213" s="99"/>
      <c r="S213" s="99"/>
      <c r="T213" s="100"/>
      <c r="V213" s="99"/>
      <c r="W213" s="99"/>
      <c r="Y213" s="47"/>
    </row>
    <row r="214" spans="17:25" ht="15.75" customHeight="1" x14ac:dyDescent="0.25">
      <c r="Q214" s="99"/>
      <c r="R214" s="99"/>
      <c r="S214" s="99"/>
      <c r="T214" s="100"/>
      <c r="V214" s="99"/>
      <c r="W214" s="99"/>
      <c r="Y214" s="47"/>
    </row>
    <row r="215" spans="17:25" ht="15.75" customHeight="1" x14ac:dyDescent="0.25">
      <c r="Q215" s="99"/>
      <c r="R215" s="99"/>
      <c r="S215" s="99"/>
      <c r="T215" s="100"/>
      <c r="V215" s="99"/>
      <c r="W215" s="99"/>
      <c r="Y215" s="47"/>
    </row>
    <row r="216" spans="17:25" ht="15.75" customHeight="1" x14ac:dyDescent="0.25">
      <c r="Q216" s="99"/>
      <c r="R216" s="99"/>
      <c r="S216" s="99"/>
      <c r="T216" s="100"/>
      <c r="V216" s="99"/>
      <c r="W216" s="99"/>
      <c r="Y216" s="47"/>
    </row>
    <row r="217" spans="17:25" ht="15.75" customHeight="1" x14ac:dyDescent="0.25">
      <c r="Q217" s="99"/>
      <c r="R217" s="99"/>
      <c r="S217" s="99"/>
      <c r="T217" s="100"/>
      <c r="V217" s="99"/>
      <c r="W217" s="99"/>
      <c r="Y217" s="47"/>
    </row>
    <row r="218" spans="17:25" ht="15.75" customHeight="1" x14ac:dyDescent="0.25">
      <c r="Q218" s="99"/>
      <c r="R218" s="99"/>
      <c r="S218" s="99"/>
      <c r="T218" s="100"/>
      <c r="V218" s="99"/>
      <c r="W218" s="99"/>
      <c r="Y218" s="47"/>
    </row>
    <row r="219" spans="17:25" ht="15.75" customHeight="1" x14ac:dyDescent="0.25">
      <c r="Q219" s="99"/>
      <c r="R219" s="99"/>
      <c r="S219" s="99"/>
      <c r="T219" s="100"/>
      <c r="V219" s="99"/>
      <c r="W219" s="99"/>
      <c r="Y219" s="47"/>
    </row>
    <row r="220" spans="17:25" ht="15.75" customHeight="1" x14ac:dyDescent="0.25">
      <c r="Q220" s="99"/>
      <c r="R220" s="99"/>
      <c r="S220" s="99"/>
      <c r="T220" s="100"/>
      <c r="V220" s="99"/>
      <c r="W220" s="99"/>
      <c r="Y220" s="47"/>
    </row>
    <row r="221" spans="17:25" ht="15.75" customHeight="1" x14ac:dyDescent="0.25">
      <c r="Q221" s="99"/>
      <c r="R221" s="99"/>
      <c r="S221" s="99"/>
      <c r="T221" s="100"/>
      <c r="V221" s="99"/>
      <c r="W221" s="99"/>
      <c r="Y221" s="47"/>
    </row>
    <row r="222" spans="17:25" ht="15.75" customHeight="1" x14ac:dyDescent="0.25">
      <c r="Q222" s="99"/>
      <c r="R222" s="99"/>
      <c r="S222" s="99"/>
      <c r="T222" s="100"/>
      <c r="V222" s="99"/>
      <c r="W222" s="99"/>
      <c r="Y222" s="47"/>
    </row>
    <row r="223" spans="17:25" ht="15.75" customHeight="1" x14ac:dyDescent="0.25">
      <c r="Q223" s="99"/>
      <c r="R223" s="99"/>
      <c r="S223" s="99"/>
      <c r="T223" s="100"/>
      <c r="V223" s="99"/>
      <c r="W223" s="99"/>
      <c r="Y223" s="47"/>
    </row>
    <row r="224" spans="17:25" ht="15.75" customHeight="1" x14ac:dyDescent="0.25">
      <c r="Q224" s="99"/>
      <c r="R224" s="99"/>
      <c r="S224" s="99"/>
      <c r="T224" s="100"/>
      <c r="V224" s="99"/>
      <c r="W224" s="99"/>
      <c r="Y224" s="47"/>
    </row>
    <row r="225" spans="17:25" ht="15.75" customHeight="1" x14ac:dyDescent="0.25">
      <c r="Q225" s="99"/>
      <c r="R225" s="99"/>
      <c r="S225" s="99"/>
      <c r="T225" s="100"/>
      <c r="V225" s="99"/>
      <c r="W225" s="99"/>
      <c r="Y225" s="47"/>
    </row>
    <row r="226" spans="17:25" ht="15.75" customHeight="1" x14ac:dyDescent="0.25">
      <c r="Q226" s="99"/>
      <c r="R226" s="99"/>
      <c r="S226" s="99"/>
      <c r="T226" s="100"/>
      <c r="V226" s="99"/>
      <c r="W226" s="99"/>
      <c r="Y226" s="47"/>
    </row>
    <row r="227" spans="17:25" ht="15.75" customHeight="1" x14ac:dyDescent="0.25">
      <c r="Q227" s="99"/>
      <c r="R227" s="99"/>
      <c r="S227" s="99"/>
      <c r="T227" s="100"/>
      <c r="V227" s="99"/>
      <c r="W227" s="99"/>
      <c r="Y227" s="47"/>
    </row>
    <row r="228" spans="17:25" ht="15.75" customHeight="1" x14ac:dyDescent="0.25">
      <c r="Q228" s="99"/>
      <c r="R228" s="99"/>
      <c r="S228" s="99"/>
      <c r="T228" s="100"/>
      <c r="V228" s="99"/>
      <c r="W228" s="99"/>
      <c r="Y228" s="47"/>
    </row>
    <row r="229" spans="17:25" ht="15.75" customHeight="1" x14ac:dyDescent="0.25">
      <c r="Q229" s="99"/>
      <c r="R229" s="99"/>
      <c r="S229" s="99"/>
      <c r="T229" s="100"/>
      <c r="V229" s="99"/>
      <c r="W229" s="99"/>
      <c r="Y229" s="47"/>
    </row>
    <row r="230" spans="17:25" ht="15.75" customHeight="1" x14ac:dyDescent="0.25">
      <c r="Q230" s="99"/>
      <c r="R230" s="99"/>
      <c r="S230" s="99"/>
      <c r="T230" s="100"/>
      <c r="V230" s="99"/>
      <c r="W230" s="99"/>
      <c r="Y230" s="47"/>
    </row>
    <row r="231" spans="17:25" ht="15.75" customHeight="1" x14ac:dyDescent="0.25">
      <c r="Q231" s="99"/>
      <c r="R231" s="99"/>
      <c r="S231" s="99"/>
      <c r="T231" s="100"/>
      <c r="V231" s="99"/>
      <c r="W231" s="99"/>
      <c r="Y231" s="47"/>
    </row>
    <row r="232" spans="17:25" ht="15.75" customHeight="1" x14ac:dyDescent="0.25">
      <c r="Q232" s="99"/>
      <c r="R232" s="99"/>
      <c r="S232" s="99"/>
      <c r="T232" s="100"/>
      <c r="V232" s="99"/>
      <c r="W232" s="99"/>
      <c r="Y232" s="47"/>
    </row>
    <row r="233" spans="17:25" ht="15.75" customHeight="1" x14ac:dyDescent="0.25">
      <c r="Q233" s="99"/>
      <c r="R233" s="99"/>
      <c r="S233" s="99"/>
      <c r="T233" s="100"/>
      <c r="V233" s="99"/>
      <c r="W233" s="99"/>
      <c r="Y233" s="47"/>
    </row>
    <row r="234" spans="17:25" ht="15.75" customHeight="1" x14ac:dyDescent="0.25">
      <c r="Q234" s="99"/>
      <c r="R234" s="99"/>
      <c r="S234" s="99"/>
      <c r="T234" s="100"/>
      <c r="V234" s="99"/>
      <c r="W234" s="99"/>
      <c r="Y234" s="47"/>
    </row>
    <row r="235" spans="17:25" ht="15.75" customHeight="1" x14ac:dyDescent="0.25">
      <c r="Q235" s="99"/>
      <c r="R235" s="99"/>
      <c r="S235" s="99"/>
      <c r="T235" s="100"/>
      <c r="V235" s="99"/>
      <c r="W235" s="99"/>
      <c r="Y235" s="47"/>
    </row>
    <row r="236" spans="17:25" ht="15.75" customHeight="1" x14ac:dyDescent="0.25">
      <c r="Q236" s="99"/>
      <c r="R236" s="99"/>
      <c r="S236" s="99"/>
      <c r="T236" s="100"/>
      <c r="V236" s="99"/>
      <c r="W236" s="99"/>
      <c r="Y236" s="47"/>
    </row>
    <row r="237" spans="17:25" ht="15.75" customHeight="1" x14ac:dyDescent="0.25">
      <c r="Q237" s="99"/>
      <c r="R237" s="99"/>
      <c r="S237" s="99"/>
      <c r="T237" s="100"/>
      <c r="V237" s="99"/>
      <c r="W237" s="99"/>
      <c r="Y237" s="47"/>
    </row>
    <row r="238" spans="17:25" ht="15.75" customHeight="1" x14ac:dyDescent="0.25">
      <c r="Q238" s="99"/>
      <c r="R238" s="99"/>
      <c r="S238" s="99"/>
      <c r="T238" s="100"/>
      <c r="V238" s="99"/>
      <c r="W238" s="99"/>
      <c r="Y238" s="47"/>
    </row>
    <row r="239" spans="17:25" ht="15.75" customHeight="1" x14ac:dyDescent="0.25">
      <c r="Q239" s="99"/>
      <c r="R239" s="99"/>
      <c r="S239" s="99"/>
      <c r="T239" s="100"/>
      <c r="V239" s="99"/>
      <c r="W239" s="99"/>
      <c r="Y239" s="47"/>
    </row>
    <row r="240" spans="17:25" ht="15.75" customHeight="1" x14ac:dyDescent="0.25">
      <c r="Q240" s="99"/>
      <c r="R240" s="99"/>
      <c r="S240" s="99"/>
      <c r="T240" s="100"/>
      <c r="V240" s="99"/>
      <c r="W240" s="99"/>
      <c r="Y240" s="47"/>
    </row>
    <row r="241" spans="17:25" ht="15.75" customHeight="1" x14ac:dyDescent="0.25">
      <c r="Q241" s="99"/>
      <c r="R241" s="99"/>
      <c r="S241" s="99"/>
      <c r="T241" s="100"/>
      <c r="V241" s="99"/>
      <c r="W241" s="99"/>
      <c r="Y241" s="47"/>
    </row>
    <row r="242" spans="17:25" ht="15.75" customHeight="1" x14ac:dyDescent="0.25">
      <c r="Q242" s="99"/>
      <c r="R242" s="99"/>
      <c r="S242" s="99"/>
      <c r="T242" s="100"/>
      <c r="V242" s="99"/>
      <c r="W242" s="99"/>
      <c r="Y242" s="47"/>
    </row>
    <row r="243" spans="17:25" ht="15.75" customHeight="1" x14ac:dyDescent="0.25">
      <c r="Q243" s="99"/>
      <c r="R243" s="99"/>
      <c r="S243" s="99"/>
      <c r="T243" s="100"/>
      <c r="V243" s="99"/>
      <c r="W243" s="99"/>
      <c r="Y243" s="47"/>
    </row>
    <row r="244" spans="17:25" ht="15.75" customHeight="1" x14ac:dyDescent="0.25">
      <c r="Q244" s="99"/>
      <c r="R244" s="99"/>
      <c r="S244" s="99"/>
      <c r="T244" s="100"/>
      <c r="V244" s="99"/>
      <c r="W244" s="99"/>
      <c r="Y244" s="47"/>
    </row>
    <row r="245" spans="17:25" ht="15.75" customHeight="1" x14ac:dyDescent="0.25">
      <c r="Q245" s="99"/>
      <c r="R245" s="99"/>
      <c r="S245" s="99"/>
      <c r="T245" s="100"/>
      <c r="V245" s="99"/>
      <c r="W245" s="99"/>
      <c r="Y245" s="47"/>
    </row>
    <row r="246" spans="17:25" ht="15.75" customHeight="1" x14ac:dyDescent="0.25">
      <c r="Q246" s="99"/>
      <c r="R246" s="99"/>
      <c r="S246" s="99"/>
      <c r="T246" s="100"/>
      <c r="V246" s="99"/>
      <c r="W246" s="99"/>
      <c r="Y246" s="47"/>
    </row>
    <row r="247" spans="17:25" ht="15.75" customHeight="1" x14ac:dyDescent="0.25">
      <c r="Q247" s="99"/>
      <c r="R247" s="99"/>
      <c r="S247" s="99"/>
      <c r="T247" s="100"/>
      <c r="V247" s="99"/>
      <c r="W247" s="99"/>
      <c r="Y247" s="47"/>
    </row>
    <row r="248" spans="17:25" ht="15.75" customHeight="1" x14ac:dyDescent="0.25">
      <c r="Q248" s="99"/>
      <c r="R248" s="99"/>
      <c r="S248" s="99"/>
      <c r="T248" s="100"/>
      <c r="V248" s="99"/>
      <c r="W248" s="99"/>
      <c r="Y248" s="47"/>
    </row>
    <row r="249" spans="17:25" ht="15.75" customHeight="1" x14ac:dyDescent="0.25">
      <c r="Q249" s="99"/>
      <c r="R249" s="99"/>
      <c r="S249" s="99"/>
      <c r="T249" s="100"/>
      <c r="V249" s="99"/>
      <c r="W249" s="99"/>
      <c r="Y249" s="47"/>
    </row>
    <row r="250" spans="17:25" ht="15.75" customHeight="1" x14ac:dyDescent="0.25">
      <c r="Q250" s="99"/>
      <c r="R250" s="99"/>
      <c r="S250" s="99"/>
      <c r="T250" s="100"/>
      <c r="V250" s="99"/>
      <c r="W250" s="99"/>
      <c r="Y250" s="47"/>
    </row>
    <row r="251" spans="17:25" ht="15.75" customHeight="1" x14ac:dyDescent="0.25">
      <c r="Q251" s="99"/>
      <c r="R251" s="99"/>
      <c r="S251" s="99"/>
      <c r="T251" s="100"/>
      <c r="V251" s="99"/>
      <c r="W251" s="99"/>
      <c r="Y251" s="47"/>
    </row>
    <row r="252" spans="17:25" ht="15.75" customHeight="1" x14ac:dyDescent="0.25">
      <c r="Q252" s="99"/>
      <c r="R252" s="99"/>
      <c r="S252" s="99"/>
      <c r="T252" s="100"/>
      <c r="V252" s="99"/>
      <c r="W252" s="99"/>
      <c r="Y252" s="47"/>
    </row>
    <row r="253" spans="17:25" ht="15.75" customHeight="1" x14ac:dyDescent="0.25">
      <c r="Q253" s="99"/>
      <c r="R253" s="99"/>
      <c r="S253" s="99"/>
      <c r="T253" s="100"/>
      <c r="V253" s="99"/>
      <c r="W253" s="99"/>
      <c r="Y253" s="47"/>
    </row>
    <row r="254" spans="17:25" ht="15.75" customHeight="1" x14ac:dyDescent="0.25">
      <c r="Q254" s="99"/>
      <c r="R254" s="99"/>
      <c r="S254" s="99"/>
      <c r="T254" s="100"/>
      <c r="V254" s="99"/>
      <c r="W254" s="99"/>
      <c r="Y254" s="47"/>
    </row>
    <row r="255" spans="17:25" ht="15.75" customHeight="1" x14ac:dyDescent="0.25">
      <c r="Q255" s="99"/>
      <c r="R255" s="99"/>
      <c r="S255" s="99"/>
      <c r="T255" s="100"/>
      <c r="V255" s="99"/>
      <c r="W255" s="99"/>
      <c r="Y255" s="47"/>
    </row>
    <row r="256" spans="17:25" ht="15.75" customHeight="1" x14ac:dyDescent="0.25">
      <c r="Q256" s="99"/>
      <c r="R256" s="99"/>
      <c r="S256" s="99"/>
      <c r="T256" s="100"/>
      <c r="V256" s="99"/>
      <c r="W256" s="99"/>
      <c r="Y256" s="47"/>
    </row>
    <row r="257" spans="17:25" ht="15.75" customHeight="1" x14ac:dyDescent="0.25">
      <c r="Q257" s="99"/>
      <c r="R257" s="99"/>
      <c r="S257" s="99"/>
      <c r="T257" s="100"/>
      <c r="V257" s="99"/>
      <c r="W257" s="99"/>
      <c r="Y257" s="47"/>
    </row>
    <row r="258" spans="17:25" ht="15.75" customHeight="1" x14ac:dyDescent="0.25">
      <c r="Q258" s="99"/>
      <c r="R258" s="99"/>
      <c r="S258" s="99"/>
      <c r="T258" s="100"/>
      <c r="V258" s="99"/>
      <c r="W258" s="99"/>
      <c r="Y258" s="47"/>
    </row>
    <row r="259" spans="17:25" ht="15.75" customHeight="1" x14ac:dyDescent="0.25">
      <c r="Q259" s="99"/>
      <c r="R259" s="99"/>
      <c r="S259" s="99"/>
      <c r="T259" s="100"/>
      <c r="V259" s="99"/>
      <c r="W259" s="99"/>
      <c r="Y259" s="47"/>
    </row>
    <row r="260" spans="17:25" ht="15.75" customHeight="1" x14ac:dyDescent="0.25">
      <c r="Q260" s="99"/>
      <c r="R260" s="99"/>
      <c r="S260" s="99"/>
      <c r="T260" s="100"/>
      <c r="V260" s="99"/>
      <c r="W260" s="99"/>
      <c r="Y260" s="47"/>
    </row>
    <row r="261" spans="17:25" ht="15.75" customHeight="1" x14ac:dyDescent="0.25">
      <c r="Q261" s="99"/>
      <c r="R261" s="99"/>
      <c r="S261" s="99"/>
      <c r="T261" s="100"/>
      <c r="V261" s="99"/>
      <c r="W261" s="99"/>
      <c r="Y261" s="47"/>
    </row>
    <row r="262" spans="17:25" ht="15.75" customHeight="1" x14ac:dyDescent="0.25">
      <c r="Q262" s="99"/>
      <c r="R262" s="99"/>
      <c r="S262" s="99"/>
      <c r="T262" s="100"/>
      <c r="V262" s="99"/>
      <c r="W262" s="99"/>
      <c r="Y262" s="47"/>
    </row>
    <row r="263" spans="17:25" ht="15.75" customHeight="1" x14ac:dyDescent="0.25">
      <c r="Q263" s="99"/>
      <c r="R263" s="99"/>
      <c r="S263" s="99"/>
      <c r="T263" s="100"/>
      <c r="V263" s="99"/>
      <c r="W263" s="99"/>
      <c r="Y263" s="47"/>
    </row>
    <row r="264" spans="17:25" ht="15.75" customHeight="1" x14ac:dyDescent="0.25">
      <c r="Q264" s="99"/>
      <c r="R264" s="99"/>
      <c r="S264" s="99"/>
      <c r="T264" s="100"/>
      <c r="V264" s="99"/>
      <c r="W264" s="99"/>
      <c r="Y264" s="47"/>
    </row>
    <row r="265" spans="17:25" ht="15.75" customHeight="1" x14ac:dyDescent="0.25">
      <c r="Q265" s="99"/>
      <c r="R265" s="99"/>
      <c r="S265" s="99"/>
      <c r="T265" s="100"/>
      <c r="V265" s="99"/>
      <c r="W265" s="99"/>
      <c r="Y265" s="47"/>
    </row>
    <row r="266" spans="17:25" ht="15.75" customHeight="1" x14ac:dyDescent="0.25">
      <c r="Q266" s="99"/>
      <c r="R266" s="99"/>
      <c r="S266" s="99"/>
      <c r="T266" s="100"/>
      <c r="V266" s="99"/>
      <c r="W266" s="99"/>
      <c r="Y266" s="47"/>
    </row>
    <row r="267" spans="17:25" ht="15.75" customHeight="1" x14ac:dyDescent="0.25">
      <c r="Q267" s="99"/>
      <c r="R267" s="99"/>
      <c r="S267" s="99"/>
      <c r="T267" s="100"/>
      <c r="V267" s="99"/>
      <c r="W267" s="99"/>
      <c r="Y267" s="47"/>
    </row>
    <row r="268" spans="17:25" ht="15.75" customHeight="1" x14ac:dyDescent="0.25">
      <c r="Q268" s="99"/>
      <c r="R268" s="99"/>
      <c r="S268" s="99"/>
      <c r="T268" s="100"/>
      <c r="V268" s="99"/>
      <c r="W268" s="99"/>
      <c r="Y268" s="47"/>
    </row>
    <row r="269" spans="17:25" ht="15.75" customHeight="1" x14ac:dyDescent="0.25">
      <c r="Q269" s="99"/>
      <c r="R269" s="99"/>
      <c r="S269" s="99"/>
      <c r="T269" s="100"/>
      <c r="V269" s="99"/>
      <c r="W269" s="99"/>
      <c r="Y269" s="47"/>
    </row>
    <row r="270" spans="17:25" ht="15.75" customHeight="1" x14ac:dyDescent="0.25">
      <c r="Q270" s="99"/>
      <c r="R270" s="99"/>
      <c r="S270" s="99"/>
      <c r="T270" s="100"/>
      <c r="V270" s="99"/>
      <c r="W270" s="99"/>
      <c r="Y270" s="47"/>
    </row>
    <row r="271" spans="17:25" ht="15.75" customHeight="1" x14ac:dyDescent="0.25">
      <c r="Q271" s="99"/>
      <c r="R271" s="99"/>
      <c r="S271" s="99"/>
      <c r="T271" s="100"/>
      <c r="V271" s="99"/>
      <c r="W271" s="99"/>
      <c r="Y271" s="47"/>
    </row>
    <row r="272" spans="17:25" ht="15.75" customHeight="1" x14ac:dyDescent="0.25">
      <c r="Q272" s="99"/>
      <c r="R272" s="99"/>
      <c r="S272" s="99"/>
      <c r="T272" s="100"/>
      <c r="V272" s="99"/>
      <c r="W272" s="99"/>
      <c r="Y272" s="47"/>
    </row>
    <row r="273" spans="17:25" ht="15.75" customHeight="1" x14ac:dyDescent="0.25">
      <c r="Q273" s="99"/>
      <c r="R273" s="99"/>
      <c r="S273" s="99"/>
      <c r="T273" s="100"/>
      <c r="V273" s="99"/>
      <c r="W273" s="99"/>
      <c r="Y273" s="47"/>
    </row>
    <row r="274" spans="17:25" ht="15.75" customHeight="1" x14ac:dyDescent="0.25">
      <c r="Q274" s="99"/>
      <c r="R274" s="99"/>
      <c r="S274" s="99"/>
      <c r="T274" s="100"/>
      <c r="V274" s="99"/>
      <c r="W274" s="99"/>
      <c r="Y274" s="47"/>
    </row>
    <row r="275" spans="17:25" ht="15.75" customHeight="1" x14ac:dyDescent="0.25">
      <c r="Q275" s="99"/>
      <c r="R275" s="99"/>
      <c r="S275" s="99"/>
      <c r="T275" s="100"/>
      <c r="V275" s="99"/>
      <c r="W275" s="99"/>
      <c r="Y275" s="47"/>
    </row>
    <row r="276" spans="17:25" ht="15.75" customHeight="1" x14ac:dyDescent="0.25">
      <c r="Q276" s="99"/>
      <c r="R276" s="99"/>
      <c r="S276" s="99"/>
      <c r="T276" s="100"/>
      <c r="V276" s="99"/>
      <c r="W276" s="99"/>
      <c r="Y276" s="47"/>
    </row>
    <row r="277" spans="17:25" ht="15.75" customHeight="1" x14ac:dyDescent="0.25">
      <c r="Q277" s="99"/>
      <c r="R277" s="99"/>
      <c r="S277" s="99"/>
      <c r="T277" s="100"/>
      <c r="V277" s="99"/>
      <c r="W277" s="99"/>
      <c r="Y277" s="47"/>
    </row>
    <row r="278" spans="17:25" ht="15.75" customHeight="1" x14ac:dyDescent="0.25">
      <c r="Q278" s="99"/>
      <c r="R278" s="99"/>
      <c r="S278" s="99"/>
      <c r="T278" s="100"/>
      <c r="V278" s="99"/>
      <c r="W278" s="99"/>
      <c r="Y278" s="47"/>
    </row>
    <row r="279" spans="17:25" ht="15.75" customHeight="1" x14ac:dyDescent="0.25">
      <c r="Q279" s="99"/>
      <c r="R279" s="99"/>
      <c r="S279" s="99"/>
      <c r="T279" s="100"/>
      <c r="V279" s="99"/>
      <c r="W279" s="99"/>
      <c r="Y279" s="47"/>
    </row>
    <row r="280" spans="17:25" ht="15.75" customHeight="1" x14ac:dyDescent="0.25">
      <c r="Q280" s="99"/>
      <c r="R280" s="99"/>
      <c r="S280" s="99"/>
      <c r="T280" s="100"/>
      <c r="V280" s="99"/>
      <c r="W280" s="99"/>
      <c r="Y280" s="47"/>
    </row>
    <row r="281" spans="17:25" ht="15.75" customHeight="1" x14ac:dyDescent="0.25">
      <c r="Q281" s="99"/>
      <c r="R281" s="99"/>
      <c r="S281" s="99"/>
      <c r="T281" s="100"/>
      <c r="V281" s="99"/>
      <c r="W281" s="99"/>
      <c r="Y281" s="47"/>
    </row>
    <row r="282" spans="17:25" ht="15.75" customHeight="1" x14ac:dyDescent="0.25">
      <c r="Q282" s="99"/>
      <c r="R282" s="99"/>
      <c r="S282" s="99"/>
      <c r="T282" s="100"/>
      <c r="V282" s="99"/>
      <c r="W282" s="99"/>
      <c r="Y282" s="47"/>
    </row>
    <row r="283" spans="17:25" ht="15.75" customHeight="1" x14ac:dyDescent="0.25">
      <c r="Q283" s="99"/>
      <c r="R283" s="99"/>
      <c r="S283" s="99"/>
      <c r="T283" s="100"/>
      <c r="V283" s="99"/>
      <c r="W283" s="99"/>
      <c r="Y283" s="47"/>
    </row>
    <row r="284" spans="17:25" ht="15.75" customHeight="1" x14ac:dyDescent="0.25">
      <c r="Q284" s="99"/>
      <c r="R284" s="99"/>
      <c r="S284" s="99"/>
      <c r="T284" s="100"/>
      <c r="V284" s="99"/>
      <c r="W284" s="99"/>
      <c r="Y284" s="47"/>
    </row>
    <row r="285" spans="17:25" ht="15.75" customHeight="1" x14ac:dyDescent="0.25">
      <c r="Q285" s="99"/>
      <c r="R285" s="99"/>
      <c r="S285" s="99"/>
      <c r="T285" s="100"/>
      <c r="V285" s="99"/>
      <c r="W285" s="99"/>
      <c r="Y285" s="47"/>
    </row>
    <row r="286" spans="17:25" ht="15.75" customHeight="1" x14ac:dyDescent="0.25">
      <c r="Q286" s="99"/>
      <c r="R286" s="99"/>
      <c r="S286" s="99"/>
      <c r="T286" s="100"/>
      <c r="V286" s="99"/>
      <c r="W286" s="99"/>
      <c r="Y286" s="47"/>
    </row>
    <row r="287" spans="17:25" ht="15.75" customHeight="1" x14ac:dyDescent="0.25">
      <c r="Q287" s="99"/>
      <c r="R287" s="99"/>
      <c r="S287" s="99"/>
      <c r="T287" s="100"/>
      <c r="V287" s="99"/>
      <c r="W287" s="99"/>
      <c r="Y287" s="47"/>
    </row>
    <row r="288" spans="17:25" ht="15.75" customHeight="1" x14ac:dyDescent="0.25">
      <c r="Q288" s="99"/>
      <c r="R288" s="99"/>
      <c r="S288" s="99"/>
      <c r="T288" s="100"/>
      <c r="V288" s="99"/>
      <c r="W288" s="99"/>
      <c r="Y288" s="47"/>
    </row>
    <row r="289" spans="17:25" ht="15.75" customHeight="1" x14ac:dyDescent="0.25">
      <c r="Q289" s="99"/>
      <c r="R289" s="99"/>
      <c r="S289" s="99"/>
      <c r="T289" s="100"/>
      <c r="V289" s="99"/>
      <c r="W289" s="99"/>
      <c r="Y289" s="47"/>
    </row>
    <row r="290" spans="17:25" ht="15.75" customHeight="1" x14ac:dyDescent="0.25">
      <c r="Q290" s="99"/>
      <c r="R290" s="99"/>
      <c r="S290" s="99"/>
      <c r="T290" s="100"/>
      <c r="V290" s="99"/>
      <c r="W290" s="99"/>
      <c r="Y290" s="47"/>
    </row>
    <row r="291" spans="17:25" ht="15.75" customHeight="1" x14ac:dyDescent="0.25">
      <c r="Q291" s="99"/>
      <c r="R291" s="99"/>
      <c r="S291" s="99"/>
      <c r="T291" s="100"/>
      <c r="V291" s="99"/>
      <c r="W291" s="99"/>
      <c r="Y291" s="47"/>
    </row>
    <row r="292" spans="17:25" ht="15.75" customHeight="1" x14ac:dyDescent="0.25">
      <c r="Q292" s="99"/>
      <c r="R292" s="99"/>
      <c r="S292" s="99"/>
      <c r="T292" s="100"/>
      <c r="V292" s="99"/>
      <c r="W292" s="99"/>
      <c r="Y292" s="47"/>
    </row>
    <row r="293" spans="17:25" ht="15.75" customHeight="1" x14ac:dyDescent="0.25">
      <c r="Q293" s="99"/>
      <c r="R293" s="99"/>
      <c r="S293" s="99"/>
      <c r="T293" s="100"/>
      <c r="V293" s="99"/>
      <c r="W293" s="99"/>
      <c r="Y293" s="47"/>
    </row>
    <row r="294" spans="17:25" ht="15.75" customHeight="1" x14ac:dyDescent="0.25">
      <c r="Q294" s="99"/>
      <c r="R294" s="99"/>
      <c r="S294" s="99"/>
      <c r="T294" s="100"/>
      <c r="V294" s="99"/>
      <c r="W294" s="99"/>
      <c r="Y294" s="47"/>
    </row>
    <row r="295" spans="17:25" ht="15.75" customHeight="1" x14ac:dyDescent="0.25">
      <c r="Q295" s="99"/>
      <c r="R295" s="99"/>
      <c r="S295" s="99"/>
      <c r="T295" s="100"/>
      <c r="V295" s="99"/>
      <c r="W295" s="99"/>
      <c r="Y295" s="47"/>
    </row>
    <row r="296" spans="17:25" ht="15.75" customHeight="1" x14ac:dyDescent="0.25">
      <c r="Q296" s="99"/>
      <c r="R296" s="99"/>
      <c r="S296" s="99"/>
      <c r="T296" s="100"/>
      <c r="V296" s="99"/>
      <c r="W296" s="99"/>
      <c r="Y296" s="47"/>
    </row>
    <row r="297" spans="17:25" ht="15.75" customHeight="1" x14ac:dyDescent="0.25">
      <c r="Q297" s="99"/>
      <c r="R297" s="99"/>
      <c r="S297" s="99"/>
      <c r="T297" s="100"/>
      <c r="V297" s="99"/>
      <c r="W297" s="99"/>
      <c r="Y297" s="47"/>
    </row>
    <row r="298" spans="17:25" ht="15.75" customHeight="1" x14ac:dyDescent="0.25">
      <c r="Q298" s="99"/>
      <c r="R298" s="99"/>
      <c r="S298" s="99"/>
      <c r="T298" s="100"/>
      <c r="V298" s="99"/>
      <c r="W298" s="99"/>
      <c r="Y298" s="47"/>
    </row>
    <row r="299" spans="17:25" ht="15.75" customHeight="1" x14ac:dyDescent="0.25">
      <c r="Q299" s="99"/>
      <c r="R299" s="99"/>
      <c r="S299" s="99"/>
      <c r="T299" s="100"/>
      <c r="V299" s="99"/>
      <c r="W299" s="99"/>
      <c r="Y299" s="47"/>
    </row>
    <row r="300" spans="17:25" ht="15.75" customHeight="1" x14ac:dyDescent="0.25">
      <c r="Q300" s="99"/>
      <c r="R300" s="99"/>
      <c r="S300" s="99"/>
      <c r="T300" s="100"/>
      <c r="V300" s="99"/>
      <c r="W300" s="99"/>
      <c r="Y300" s="47"/>
    </row>
    <row r="301" spans="17:25" ht="15.75" customHeight="1" x14ac:dyDescent="0.25">
      <c r="Q301" s="99"/>
      <c r="R301" s="99"/>
      <c r="S301" s="99"/>
      <c r="T301" s="100"/>
      <c r="V301" s="99"/>
      <c r="W301" s="99"/>
      <c r="Y301" s="47"/>
    </row>
    <row r="302" spans="17:25" ht="15.75" customHeight="1" x14ac:dyDescent="0.25">
      <c r="Q302" s="99"/>
      <c r="R302" s="99"/>
      <c r="S302" s="99"/>
      <c r="T302" s="100"/>
      <c r="V302" s="99"/>
      <c r="W302" s="99"/>
      <c r="Y302" s="47"/>
    </row>
    <row r="303" spans="17:25" ht="15.75" customHeight="1" x14ac:dyDescent="0.25">
      <c r="Q303" s="99"/>
      <c r="R303" s="99"/>
      <c r="S303" s="99"/>
      <c r="T303" s="100"/>
      <c r="V303" s="99"/>
      <c r="W303" s="99"/>
      <c r="Y303" s="47"/>
    </row>
    <row r="304" spans="17:25" ht="15.75" customHeight="1" x14ac:dyDescent="0.25">
      <c r="Q304" s="99"/>
      <c r="R304" s="99"/>
      <c r="S304" s="99"/>
      <c r="T304" s="100"/>
      <c r="V304" s="99"/>
      <c r="W304" s="99"/>
      <c r="Y304" s="47"/>
    </row>
    <row r="305" spans="17:25" ht="15.75" customHeight="1" x14ac:dyDescent="0.25">
      <c r="Q305" s="99"/>
      <c r="R305" s="99"/>
      <c r="S305" s="99"/>
      <c r="T305" s="100"/>
      <c r="V305" s="99"/>
      <c r="W305" s="99"/>
      <c r="Y305" s="47"/>
    </row>
    <row r="306" spans="17:25" ht="15.75" customHeight="1" x14ac:dyDescent="0.25">
      <c r="Q306" s="99"/>
      <c r="R306" s="99"/>
      <c r="S306" s="99"/>
      <c r="T306" s="100"/>
      <c r="V306" s="99"/>
      <c r="W306" s="99"/>
      <c r="Y306" s="47"/>
    </row>
    <row r="307" spans="17:25" ht="15.75" customHeight="1" x14ac:dyDescent="0.25">
      <c r="Q307" s="99"/>
      <c r="R307" s="99"/>
      <c r="S307" s="99"/>
      <c r="T307" s="100"/>
      <c r="V307" s="99"/>
      <c r="W307" s="99"/>
      <c r="Y307" s="47"/>
    </row>
    <row r="308" spans="17:25" ht="15.75" customHeight="1" x14ac:dyDescent="0.25">
      <c r="Q308" s="99"/>
      <c r="R308" s="99"/>
      <c r="S308" s="99"/>
      <c r="T308" s="100"/>
      <c r="V308" s="99"/>
      <c r="W308" s="99"/>
      <c r="Y308" s="47"/>
    </row>
    <row r="309" spans="17:25" ht="15.75" customHeight="1" x14ac:dyDescent="0.25">
      <c r="Q309" s="99"/>
      <c r="R309" s="99"/>
      <c r="S309" s="99"/>
      <c r="T309" s="100"/>
      <c r="V309" s="99"/>
      <c r="W309" s="99"/>
      <c r="Y309" s="47"/>
    </row>
    <row r="310" spans="17:25" ht="15.75" customHeight="1" x14ac:dyDescent="0.25">
      <c r="Q310" s="99"/>
      <c r="R310" s="99"/>
      <c r="S310" s="99"/>
      <c r="T310" s="100"/>
      <c r="V310" s="99"/>
      <c r="W310" s="99"/>
      <c r="Y310" s="47"/>
    </row>
    <row r="311" spans="17:25" ht="15.75" customHeight="1" x14ac:dyDescent="0.25">
      <c r="Q311" s="99"/>
      <c r="R311" s="99"/>
      <c r="S311" s="99"/>
      <c r="T311" s="100"/>
      <c r="V311" s="99"/>
      <c r="W311" s="99"/>
      <c r="Y311" s="47"/>
    </row>
    <row r="312" spans="17:25" ht="15.75" customHeight="1" x14ac:dyDescent="0.25">
      <c r="Q312" s="99"/>
      <c r="R312" s="99"/>
      <c r="S312" s="99"/>
      <c r="T312" s="100"/>
      <c r="V312" s="99"/>
      <c r="W312" s="99"/>
      <c r="Y312" s="47"/>
    </row>
    <row r="313" spans="17:25" ht="15.75" customHeight="1" x14ac:dyDescent="0.25">
      <c r="Q313" s="99"/>
      <c r="R313" s="99"/>
      <c r="S313" s="99"/>
      <c r="T313" s="100"/>
      <c r="V313" s="99"/>
      <c r="W313" s="99"/>
      <c r="Y313" s="47"/>
    </row>
    <row r="314" spans="17:25" ht="15.75" customHeight="1" x14ac:dyDescent="0.25">
      <c r="Q314" s="99"/>
      <c r="R314" s="99"/>
      <c r="S314" s="99"/>
      <c r="T314" s="100"/>
      <c r="V314" s="99"/>
      <c r="W314" s="99"/>
      <c r="Y314" s="47"/>
    </row>
    <row r="315" spans="17:25" ht="15.75" customHeight="1" x14ac:dyDescent="0.25">
      <c r="Q315" s="99"/>
      <c r="R315" s="99"/>
      <c r="S315" s="99"/>
      <c r="T315" s="100"/>
      <c r="V315" s="99"/>
      <c r="W315" s="99"/>
      <c r="Y315" s="47"/>
    </row>
    <row r="316" spans="17:25" ht="15.75" customHeight="1" x14ac:dyDescent="0.25">
      <c r="Q316" s="99"/>
      <c r="R316" s="99"/>
      <c r="S316" s="99"/>
      <c r="T316" s="100"/>
      <c r="V316" s="99"/>
      <c r="W316" s="99"/>
      <c r="Y316" s="47"/>
    </row>
    <row r="317" spans="17:25" ht="15.75" customHeight="1" x14ac:dyDescent="0.25">
      <c r="Q317" s="99"/>
      <c r="R317" s="99"/>
      <c r="S317" s="99"/>
      <c r="T317" s="100"/>
      <c r="V317" s="99"/>
      <c r="W317" s="99"/>
      <c r="Y317" s="47"/>
    </row>
    <row r="318" spans="17:25" ht="15.75" customHeight="1" x14ac:dyDescent="0.25">
      <c r="Q318" s="99"/>
      <c r="R318" s="99"/>
      <c r="S318" s="99"/>
      <c r="T318" s="100"/>
      <c r="V318" s="99"/>
      <c r="W318" s="99"/>
      <c r="Y318" s="47"/>
    </row>
    <row r="319" spans="17:25" ht="15.75" customHeight="1" x14ac:dyDescent="0.25">
      <c r="Q319" s="99"/>
      <c r="R319" s="99"/>
      <c r="S319" s="99"/>
      <c r="T319" s="100"/>
      <c r="V319" s="99"/>
      <c r="W319" s="99"/>
      <c r="Y319" s="47"/>
    </row>
    <row r="320" spans="17:25" ht="15.75" customHeight="1" x14ac:dyDescent="0.25">
      <c r="Q320" s="99"/>
      <c r="R320" s="99"/>
      <c r="S320" s="99"/>
      <c r="T320" s="100"/>
      <c r="V320" s="99"/>
      <c r="W320" s="99"/>
      <c r="Y320" s="47"/>
    </row>
    <row r="321" spans="17:25" ht="15.75" customHeight="1" x14ac:dyDescent="0.25">
      <c r="Q321" s="99"/>
      <c r="R321" s="99"/>
      <c r="S321" s="99"/>
      <c r="T321" s="100"/>
      <c r="V321" s="99"/>
      <c r="W321" s="99"/>
      <c r="Y321" s="47"/>
    </row>
    <row r="322" spans="17:25" ht="15.75" customHeight="1" x14ac:dyDescent="0.25">
      <c r="Q322" s="99"/>
      <c r="R322" s="99"/>
      <c r="S322" s="99"/>
      <c r="T322" s="100"/>
      <c r="V322" s="99"/>
      <c r="W322" s="99"/>
      <c r="Y322" s="47"/>
    </row>
    <row r="323" spans="17:25" ht="15.75" customHeight="1" x14ac:dyDescent="0.25">
      <c r="Q323" s="99"/>
      <c r="R323" s="99"/>
      <c r="S323" s="99"/>
      <c r="T323" s="100"/>
      <c r="V323" s="99"/>
      <c r="W323" s="99"/>
      <c r="Y323" s="47"/>
    </row>
    <row r="324" spans="17:25" ht="15.75" customHeight="1" x14ac:dyDescent="0.25">
      <c r="Q324" s="99"/>
      <c r="R324" s="99"/>
      <c r="S324" s="99"/>
      <c r="T324" s="100"/>
      <c r="V324" s="99"/>
      <c r="W324" s="99"/>
      <c r="Y324" s="47"/>
    </row>
    <row r="325" spans="17:25" ht="15.75" customHeight="1" x14ac:dyDescent="0.25">
      <c r="Q325" s="99"/>
      <c r="R325" s="99"/>
      <c r="S325" s="99"/>
      <c r="T325" s="100"/>
      <c r="V325" s="99"/>
      <c r="W325" s="99"/>
      <c r="Y325" s="47"/>
    </row>
    <row r="326" spans="17:25" ht="15.75" customHeight="1" x14ac:dyDescent="0.25">
      <c r="Q326" s="99"/>
      <c r="R326" s="99"/>
      <c r="S326" s="99"/>
      <c r="T326" s="100"/>
      <c r="V326" s="99"/>
      <c r="W326" s="99"/>
      <c r="Y326" s="47"/>
    </row>
    <row r="327" spans="17:25" ht="15.75" customHeight="1" x14ac:dyDescent="0.25">
      <c r="Q327" s="99"/>
      <c r="R327" s="99"/>
      <c r="S327" s="99"/>
      <c r="T327" s="100"/>
      <c r="V327" s="99"/>
      <c r="W327" s="99"/>
      <c r="Y327" s="47"/>
    </row>
    <row r="328" spans="17:25" ht="15.75" customHeight="1" x14ac:dyDescent="0.25">
      <c r="Q328" s="99"/>
      <c r="R328" s="99"/>
      <c r="S328" s="99"/>
      <c r="T328" s="100"/>
      <c r="V328" s="99"/>
      <c r="W328" s="99"/>
      <c r="Y328" s="47"/>
    </row>
    <row r="329" spans="17:25" ht="15.75" customHeight="1" x14ac:dyDescent="0.25">
      <c r="Q329" s="99"/>
      <c r="R329" s="99"/>
      <c r="S329" s="99"/>
      <c r="T329" s="100"/>
      <c r="V329" s="99"/>
      <c r="W329" s="99"/>
      <c r="Y329" s="47"/>
    </row>
    <row r="330" spans="17:25" ht="15.75" customHeight="1" x14ac:dyDescent="0.25">
      <c r="Q330" s="99"/>
      <c r="R330" s="99"/>
      <c r="S330" s="99"/>
      <c r="T330" s="100"/>
      <c r="V330" s="99"/>
      <c r="W330" s="99"/>
      <c r="Y330" s="47"/>
    </row>
    <row r="331" spans="17:25" ht="15.75" customHeight="1" x14ac:dyDescent="0.25">
      <c r="Q331" s="99"/>
      <c r="R331" s="99"/>
      <c r="S331" s="99"/>
      <c r="T331" s="100"/>
      <c r="V331" s="99"/>
      <c r="W331" s="99"/>
      <c r="Y331" s="47"/>
    </row>
    <row r="332" spans="17:25" ht="15.75" customHeight="1" x14ac:dyDescent="0.25">
      <c r="Q332" s="99"/>
      <c r="R332" s="99"/>
      <c r="S332" s="99"/>
      <c r="T332" s="100"/>
      <c r="V332" s="99"/>
      <c r="W332" s="99"/>
      <c r="Y332" s="47"/>
    </row>
    <row r="333" spans="17:25" ht="15.75" customHeight="1" x14ac:dyDescent="0.25">
      <c r="Q333" s="99"/>
      <c r="R333" s="99"/>
      <c r="S333" s="99"/>
      <c r="T333" s="100"/>
      <c r="V333" s="99"/>
      <c r="W333" s="99"/>
      <c r="Y333" s="47"/>
    </row>
    <row r="334" spans="17:25" ht="15.75" customHeight="1" x14ac:dyDescent="0.25">
      <c r="Q334" s="99"/>
      <c r="R334" s="99"/>
      <c r="S334" s="99"/>
      <c r="T334" s="100"/>
      <c r="V334" s="99"/>
      <c r="W334" s="99"/>
      <c r="Y334" s="47"/>
    </row>
    <row r="335" spans="17:25" ht="15.75" customHeight="1" x14ac:dyDescent="0.25">
      <c r="Q335" s="99"/>
      <c r="R335" s="99"/>
      <c r="S335" s="99"/>
      <c r="T335" s="100"/>
      <c r="V335" s="99"/>
      <c r="W335" s="99"/>
      <c r="Y335" s="47"/>
    </row>
    <row r="336" spans="17:25" ht="15.75" customHeight="1" x14ac:dyDescent="0.25">
      <c r="Q336" s="99"/>
      <c r="R336" s="99"/>
      <c r="S336" s="99"/>
      <c r="T336" s="100"/>
      <c r="V336" s="99"/>
      <c r="W336" s="99"/>
      <c r="Y336" s="47"/>
    </row>
    <row r="337" spans="17:25" ht="15.75" customHeight="1" x14ac:dyDescent="0.25">
      <c r="Q337" s="99"/>
      <c r="R337" s="99"/>
      <c r="S337" s="99"/>
      <c r="T337" s="100"/>
      <c r="V337" s="99"/>
      <c r="W337" s="99"/>
      <c r="Y337" s="47"/>
    </row>
    <row r="338" spans="17:25" ht="15.75" customHeight="1" x14ac:dyDescent="0.25">
      <c r="Q338" s="99"/>
      <c r="R338" s="99"/>
      <c r="S338" s="99"/>
      <c r="T338" s="100"/>
      <c r="V338" s="99"/>
      <c r="W338" s="99"/>
      <c r="Y338" s="47"/>
    </row>
    <row r="339" spans="17:25" ht="15.75" customHeight="1" x14ac:dyDescent="0.25">
      <c r="Q339" s="99"/>
      <c r="R339" s="99"/>
      <c r="S339" s="99"/>
      <c r="T339" s="100"/>
      <c r="V339" s="99"/>
      <c r="W339" s="99"/>
      <c r="Y339" s="47"/>
    </row>
    <row r="340" spans="17:25" ht="15.75" customHeight="1" x14ac:dyDescent="0.25">
      <c r="Q340" s="99"/>
      <c r="R340" s="99"/>
      <c r="S340" s="99"/>
      <c r="T340" s="100"/>
      <c r="V340" s="99"/>
      <c r="W340" s="99"/>
      <c r="Y340" s="47"/>
    </row>
    <row r="341" spans="17:25" ht="15.75" customHeight="1" x14ac:dyDescent="0.25">
      <c r="Q341" s="99"/>
      <c r="R341" s="99"/>
      <c r="S341" s="99"/>
      <c r="T341" s="100"/>
      <c r="V341" s="99"/>
      <c r="W341" s="99"/>
      <c r="Y341" s="47"/>
    </row>
    <row r="342" spans="17:25" ht="15.75" customHeight="1" x14ac:dyDescent="0.25">
      <c r="Q342" s="99"/>
      <c r="R342" s="99"/>
      <c r="S342" s="99"/>
      <c r="T342" s="100"/>
      <c r="V342" s="99"/>
      <c r="W342" s="99"/>
      <c r="Y342" s="47"/>
    </row>
    <row r="343" spans="17:25" ht="15.75" customHeight="1" x14ac:dyDescent="0.25">
      <c r="Q343" s="99"/>
      <c r="R343" s="99"/>
      <c r="S343" s="99"/>
      <c r="T343" s="100"/>
      <c r="V343" s="99"/>
      <c r="W343" s="99"/>
      <c r="Y343" s="47"/>
    </row>
    <row r="344" spans="17:25" ht="15.75" customHeight="1" x14ac:dyDescent="0.25">
      <c r="Q344" s="99"/>
      <c r="R344" s="99"/>
      <c r="S344" s="99"/>
      <c r="T344" s="100"/>
      <c r="V344" s="99"/>
      <c r="W344" s="99"/>
      <c r="Y344" s="47"/>
    </row>
    <row r="345" spans="17:25" ht="15.75" customHeight="1" x14ac:dyDescent="0.25">
      <c r="Q345" s="99"/>
      <c r="R345" s="99"/>
      <c r="S345" s="99"/>
      <c r="T345" s="100"/>
      <c r="V345" s="99"/>
      <c r="W345" s="99"/>
      <c r="Y345" s="47"/>
    </row>
    <row r="346" spans="17:25" ht="15.75" customHeight="1" x14ac:dyDescent="0.25">
      <c r="Q346" s="99"/>
      <c r="R346" s="99"/>
      <c r="S346" s="99"/>
      <c r="T346" s="100"/>
      <c r="V346" s="99"/>
      <c r="W346" s="99"/>
      <c r="Y346" s="47"/>
    </row>
    <row r="347" spans="17:25" ht="15.75" customHeight="1" x14ac:dyDescent="0.25">
      <c r="Q347" s="99"/>
      <c r="R347" s="99"/>
      <c r="S347" s="99"/>
      <c r="T347" s="100"/>
      <c r="V347" s="99"/>
      <c r="W347" s="99"/>
      <c r="Y347" s="47"/>
    </row>
    <row r="348" spans="17:25" ht="15.75" customHeight="1" x14ac:dyDescent="0.25">
      <c r="Q348" s="99"/>
      <c r="R348" s="99"/>
      <c r="S348" s="99"/>
      <c r="T348" s="100"/>
      <c r="V348" s="99"/>
      <c r="W348" s="99"/>
      <c r="Y348" s="47"/>
    </row>
    <row r="349" spans="17:25" ht="15.75" customHeight="1" x14ac:dyDescent="0.25">
      <c r="Q349" s="99"/>
      <c r="R349" s="99"/>
      <c r="S349" s="99"/>
      <c r="T349" s="100"/>
      <c r="V349" s="99"/>
      <c r="W349" s="99"/>
      <c r="Y349" s="47"/>
    </row>
    <row r="350" spans="17:25" ht="15.75" customHeight="1" x14ac:dyDescent="0.25">
      <c r="Q350" s="99"/>
      <c r="R350" s="99"/>
      <c r="S350" s="99"/>
      <c r="T350" s="100"/>
      <c r="V350" s="99"/>
      <c r="W350" s="99"/>
      <c r="Y350" s="47"/>
    </row>
    <row r="351" spans="17:25" ht="15.75" customHeight="1" x14ac:dyDescent="0.25">
      <c r="Q351" s="99"/>
      <c r="R351" s="99"/>
      <c r="S351" s="99"/>
      <c r="T351" s="100"/>
      <c r="V351" s="99"/>
      <c r="W351" s="99"/>
      <c r="Y351" s="47"/>
    </row>
    <row r="352" spans="17:25" ht="15.75" customHeight="1" x14ac:dyDescent="0.25">
      <c r="Q352" s="99"/>
      <c r="R352" s="99"/>
      <c r="S352" s="99"/>
      <c r="T352" s="100"/>
      <c r="V352" s="99"/>
      <c r="W352" s="99"/>
      <c r="Y352" s="47"/>
    </row>
    <row r="353" spans="17:25" ht="15.75" customHeight="1" x14ac:dyDescent="0.25">
      <c r="Q353" s="99"/>
      <c r="R353" s="99"/>
      <c r="S353" s="99"/>
      <c r="T353" s="100"/>
      <c r="V353" s="99"/>
      <c r="W353" s="99"/>
      <c r="Y353" s="47"/>
    </row>
    <row r="354" spans="17:25" ht="15.75" customHeight="1" x14ac:dyDescent="0.25">
      <c r="Q354" s="99"/>
      <c r="R354" s="99"/>
      <c r="S354" s="99"/>
      <c r="T354" s="100"/>
      <c r="V354" s="99"/>
      <c r="W354" s="99"/>
      <c r="Y354" s="47"/>
    </row>
    <row r="355" spans="17:25" ht="15.75" customHeight="1" x14ac:dyDescent="0.25">
      <c r="Q355" s="99"/>
      <c r="R355" s="99"/>
      <c r="S355" s="99"/>
      <c r="T355" s="100"/>
      <c r="V355" s="99"/>
      <c r="W355" s="99"/>
      <c r="Y355" s="47"/>
    </row>
    <row r="356" spans="17:25" ht="15.75" customHeight="1" x14ac:dyDescent="0.25">
      <c r="Q356" s="99"/>
      <c r="R356" s="99"/>
      <c r="S356" s="99"/>
      <c r="T356" s="100"/>
      <c r="V356" s="99"/>
      <c r="W356" s="99"/>
      <c r="Y356" s="47"/>
    </row>
    <row r="357" spans="17:25" ht="15.75" customHeight="1" x14ac:dyDescent="0.25">
      <c r="Q357" s="99"/>
      <c r="R357" s="99"/>
      <c r="S357" s="99"/>
      <c r="T357" s="100"/>
      <c r="V357" s="99"/>
      <c r="W357" s="99"/>
      <c r="Y357" s="47"/>
    </row>
    <row r="358" spans="17:25" ht="15.75" customHeight="1" x14ac:dyDescent="0.25">
      <c r="Q358" s="99"/>
      <c r="R358" s="99"/>
      <c r="S358" s="99"/>
      <c r="T358" s="100"/>
      <c r="V358" s="99"/>
      <c r="W358" s="99"/>
      <c r="Y358" s="47"/>
    </row>
    <row r="359" spans="17:25" ht="15.75" customHeight="1" x14ac:dyDescent="0.25">
      <c r="Q359" s="99"/>
      <c r="R359" s="99"/>
      <c r="S359" s="99"/>
      <c r="T359" s="100"/>
      <c r="V359" s="99"/>
      <c r="W359" s="99"/>
      <c r="Y359" s="47"/>
    </row>
    <row r="360" spans="17:25" ht="15.75" customHeight="1" x14ac:dyDescent="0.25">
      <c r="Q360" s="99"/>
      <c r="R360" s="99"/>
      <c r="S360" s="99"/>
      <c r="T360" s="100"/>
      <c r="V360" s="99"/>
      <c r="W360" s="99"/>
      <c r="Y360" s="47"/>
    </row>
    <row r="361" spans="17:25" ht="15.75" customHeight="1" x14ac:dyDescent="0.25">
      <c r="Q361" s="99"/>
      <c r="R361" s="99"/>
      <c r="S361" s="99"/>
      <c r="T361" s="100"/>
      <c r="V361" s="99"/>
      <c r="W361" s="99"/>
      <c r="Y361" s="47"/>
    </row>
    <row r="362" spans="17:25" ht="15.75" customHeight="1" x14ac:dyDescent="0.25">
      <c r="Q362" s="99"/>
      <c r="R362" s="99"/>
      <c r="S362" s="99"/>
      <c r="T362" s="100"/>
      <c r="V362" s="99"/>
      <c r="W362" s="99"/>
      <c r="Y362" s="47"/>
    </row>
    <row r="363" spans="17:25" ht="15.75" customHeight="1" x14ac:dyDescent="0.25">
      <c r="Q363" s="99"/>
      <c r="R363" s="99"/>
      <c r="S363" s="99"/>
      <c r="T363" s="100"/>
      <c r="V363" s="99"/>
      <c r="W363" s="99"/>
      <c r="Y363" s="47"/>
    </row>
    <row r="364" spans="17:25" ht="15.75" customHeight="1" x14ac:dyDescent="0.25">
      <c r="Q364" s="99"/>
      <c r="R364" s="99"/>
      <c r="S364" s="99"/>
      <c r="T364" s="100"/>
      <c r="V364" s="99"/>
      <c r="W364" s="99"/>
      <c r="Y364" s="47"/>
    </row>
    <row r="365" spans="17:25" ht="15.75" customHeight="1" x14ac:dyDescent="0.25">
      <c r="Q365" s="99"/>
      <c r="R365" s="99"/>
      <c r="S365" s="99"/>
      <c r="T365" s="100"/>
      <c r="V365" s="99"/>
      <c r="W365" s="99"/>
      <c r="Y365" s="47"/>
    </row>
    <row r="366" spans="17:25" ht="15.75" customHeight="1" x14ac:dyDescent="0.25">
      <c r="Q366" s="99"/>
      <c r="R366" s="99"/>
      <c r="S366" s="99"/>
      <c r="T366" s="100"/>
      <c r="V366" s="99"/>
      <c r="W366" s="99"/>
      <c r="Y366" s="47"/>
    </row>
    <row r="367" spans="17:25" ht="15.75" customHeight="1" x14ac:dyDescent="0.25">
      <c r="Q367" s="99"/>
      <c r="R367" s="99"/>
      <c r="S367" s="99"/>
      <c r="T367" s="100"/>
      <c r="V367" s="99"/>
      <c r="W367" s="99"/>
      <c r="Y367" s="47"/>
    </row>
    <row r="368" spans="17:25" ht="15.75" customHeight="1" x14ac:dyDescent="0.25">
      <c r="Q368" s="99"/>
      <c r="R368" s="99"/>
      <c r="S368" s="99"/>
      <c r="T368" s="100"/>
      <c r="V368" s="99"/>
      <c r="W368" s="99"/>
      <c r="Y368" s="47"/>
    </row>
    <row r="369" spans="17:25" ht="15.75" customHeight="1" x14ac:dyDescent="0.25">
      <c r="Q369" s="99"/>
      <c r="R369" s="99"/>
      <c r="S369" s="99"/>
      <c r="T369" s="100"/>
      <c r="V369" s="99"/>
      <c r="W369" s="99"/>
      <c r="Y369" s="47"/>
    </row>
    <row r="370" spans="17:25" ht="15.75" customHeight="1" x14ac:dyDescent="0.25">
      <c r="Q370" s="99"/>
      <c r="R370" s="99"/>
      <c r="S370" s="99"/>
      <c r="T370" s="100"/>
      <c r="V370" s="99"/>
      <c r="W370" s="99"/>
      <c r="Y370" s="47"/>
    </row>
    <row r="371" spans="17:25" ht="15.75" customHeight="1" x14ac:dyDescent="0.25">
      <c r="Q371" s="99"/>
      <c r="R371" s="99"/>
      <c r="S371" s="99"/>
      <c r="T371" s="100"/>
      <c r="V371" s="99"/>
      <c r="W371" s="99"/>
      <c r="Y371" s="47"/>
    </row>
    <row r="372" spans="17:25" ht="15.75" customHeight="1" x14ac:dyDescent="0.25">
      <c r="Q372" s="99"/>
      <c r="R372" s="99"/>
      <c r="S372" s="99"/>
      <c r="T372" s="100"/>
      <c r="V372" s="99"/>
      <c r="W372" s="99"/>
      <c r="Y372" s="47"/>
    </row>
    <row r="373" spans="17:25" ht="15.75" customHeight="1" x14ac:dyDescent="0.25">
      <c r="Q373" s="99"/>
      <c r="R373" s="99"/>
      <c r="S373" s="99"/>
      <c r="T373" s="100"/>
      <c r="V373" s="99"/>
      <c r="W373" s="99"/>
      <c r="Y373" s="47"/>
    </row>
    <row r="374" spans="17:25" ht="15.75" customHeight="1" x14ac:dyDescent="0.25">
      <c r="Q374" s="99"/>
      <c r="R374" s="99"/>
      <c r="S374" s="99"/>
      <c r="T374" s="100"/>
      <c r="V374" s="99"/>
      <c r="W374" s="99"/>
      <c r="Y374" s="47"/>
    </row>
    <row r="375" spans="17:25" ht="15.75" customHeight="1" x14ac:dyDescent="0.25">
      <c r="Q375" s="99"/>
      <c r="R375" s="99"/>
      <c r="S375" s="99"/>
      <c r="T375" s="100"/>
      <c r="V375" s="99"/>
      <c r="W375" s="99"/>
      <c r="Y375" s="47"/>
    </row>
    <row r="376" spans="17:25" ht="15.75" customHeight="1" x14ac:dyDescent="0.25">
      <c r="Q376" s="99"/>
      <c r="R376" s="99"/>
      <c r="S376" s="99"/>
      <c r="T376" s="100"/>
      <c r="V376" s="99"/>
      <c r="W376" s="99"/>
      <c r="Y376" s="47"/>
    </row>
    <row r="377" spans="17:25" ht="15.75" customHeight="1" x14ac:dyDescent="0.25">
      <c r="Q377" s="99"/>
      <c r="R377" s="99"/>
      <c r="S377" s="99"/>
      <c r="T377" s="100"/>
      <c r="V377" s="99"/>
      <c r="W377" s="99"/>
      <c r="Y377" s="47"/>
    </row>
    <row r="378" spans="17:25" ht="15.75" customHeight="1" x14ac:dyDescent="0.25">
      <c r="Q378" s="99"/>
      <c r="R378" s="99"/>
      <c r="S378" s="99"/>
      <c r="T378" s="100"/>
      <c r="V378" s="99"/>
      <c r="W378" s="99"/>
      <c r="Y378" s="47"/>
    </row>
    <row r="379" spans="17:25" ht="15.75" customHeight="1" x14ac:dyDescent="0.25">
      <c r="Q379" s="99"/>
      <c r="R379" s="99"/>
      <c r="S379" s="99"/>
      <c r="T379" s="100"/>
      <c r="V379" s="99"/>
      <c r="W379" s="99"/>
      <c r="Y379" s="47"/>
    </row>
    <row r="380" spans="17:25" ht="15.75" customHeight="1" x14ac:dyDescent="0.25">
      <c r="Q380" s="99"/>
      <c r="R380" s="99"/>
      <c r="S380" s="99"/>
      <c r="T380" s="100"/>
      <c r="V380" s="99"/>
      <c r="W380" s="99"/>
      <c r="Y380" s="47"/>
    </row>
    <row r="381" spans="17:25" ht="15.75" customHeight="1" x14ac:dyDescent="0.25">
      <c r="Q381" s="99"/>
      <c r="R381" s="99"/>
      <c r="S381" s="99"/>
      <c r="T381" s="100"/>
      <c r="V381" s="99"/>
      <c r="W381" s="99"/>
      <c r="Y381" s="47"/>
    </row>
    <row r="382" spans="17:25" ht="15.75" customHeight="1" x14ac:dyDescent="0.25">
      <c r="Q382" s="99"/>
      <c r="R382" s="99"/>
      <c r="S382" s="99"/>
      <c r="T382" s="100"/>
      <c r="V382" s="99"/>
      <c r="W382" s="99"/>
      <c r="Y382" s="47"/>
    </row>
    <row r="383" spans="17:25" ht="15.75" customHeight="1" x14ac:dyDescent="0.25">
      <c r="Q383" s="99"/>
      <c r="R383" s="99"/>
      <c r="S383" s="99"/>
      <c r="T383" s="100"/>
      <c r="V383" s="99"/>
      <c r="W383" s="99"/>
      <c r="Y383" s="47"/>
    </row>
    <row r="384" spans="17:25" ht="15.75" customHeight="1" x14ac:dyDescent="0.25">
      <c r="Q384" s="99"/>
      <c r="R384" s="99"/>
      <c r="S384" s="99"/>
      <c r="T384" s="100"/>
      <c r="V384" s="99"/>
      <c r="W384" s="99"/>
      <c r="Y384" s="47"/>
    </row>
    <row r="385" spans="17:25" ht="15.75" customHeight="1" x14ac:dyDescent="0.25">
      <c r="Q385" s="99"/>
      <c r="R385" s="99"/>
      <c r="S385" s="99"/>
      <c r="T385" s="100"/>
      <c r="V385" s="99"/>
      <c r="W385" s="99"/>
      <c r="Y385" s="47"/>
    </row>
    <row r="386" spans="17:25" ht="15.75" customHeight="1" x14ac:dyDescent="0.25">
      <c r="Q386" s="99"/>
      <c r="R386" s="99"/>
      <c r="S386" s="99"/>
      <c r="T386" s="100"/>
      <c r="V386" s="99"/>
      <c r="W386" s="99"/>
      <c r="Y386" s="47"/>
    </row>
    <row r="387" spans="17:25" ht="15.75" customHeight="1" x14ac:dyDescent="0.25">
      <c r="Q387" s="99"/>
      <c r="R387" s="99"/>
      <c r="S387" s="99"/>
      <c r="T387" s="100"/>
      <c r="V387" s="99"/>
      <c r="W387" s="99"/>
      <c r="Y387" s="47"/>
    </row>
    <row r="388" spans="17:25" ht="15.75" customHeight="1" x14ac:dyDescent="0.25">
      <c r="Q388" s="99"/>
      <c r="R388" s="99"/>
      <c r="S388" s="99"/>
      <c r="T388" s="100"/>
      <c r="V388" s="99"/>
      <c r="W388" s="99"/>
      <c r="Y388" s="47"/>
    </row>
    <row r="389" spans="17:25" ht="15.75" customHeight="1" x14ac:dyDescent="0.25">
      <c r="Q389" s="99"/>
      <c r="R389" s="99"/>
      <c r="S389" s="99"/>
      <c r="T389" s="100"/>
      <c r="V389" s="99"/>
      <c r="W389" s="99"/>
      <c r="Y389" s="47"/>
    </row>
    <row r="390" spans="17:25" ht="15.75" customHeight="1" x14ac:dyDescent="0.25">
      <c r="Q390" s="99"/>
      <c r="R390" s="99"/>
      <c r="S390" s="99"/>
      <c r="T390" s="100"/>
      <c r="V390" s="99"/>
      <c r="W390" s="99"/>
      <c r="Y390" s="47"/>
    </row>
    <row r="391" spans="17:25" ht="15.75" customHeight="1" x14ac:dyDescent="0.25">
      <c r="Q391" s="99"/>
      <c r="R391" s="99"/>
      <c r="S391" s="99"/>
      <c r="T391" s="100"/>
      <c r="V391" s="99"/>
      <c r="W391" s="99"/>
      <c r="Y391" s="47"/>
    </row>
    <row r="392" spans="17:25" ht="15.75" customHeight="1" x14ac:dyDescent="0.25">
      <c r="Q392" s="99"/>
      <c r="R392" s="99"/>
      <c r="S392" s="99"/>
      <c r="T392" s="100"/>
      <c r="V392" s="99"/>
      <c r="W392" s="99"/>
      <c r="Y392" s="47"/>
    </row>
    <row r="393" spans="17:25" ht="15.75" customHeight="1" x14ac:dyDescent="0.25">
      <c r="Q393" s="99"/>
      <c r="R393" s="99"/>
      <c r="S393" s="99"/>
      <c r="T393" s="100"/>
      <c r="V393" s="99"/>
      <c r="W393" s="99"/>
      <c r="Y393" s="47"/>
    </row>
    <row r="394" spans="17:25" ht="15.75" customHeight="1" x14ac:dyDescent="0.25">
      <c r="Q394" s="99"/>
      <c r="R394" s="99"/>
      <c r="S394" s="99"/>
      <c r="T394" s="100"/>
      <c r="V394" s="99"/>
      <c r="W394" s="99"/>
      <c r="Y394" s="47"/>
    </row>
    <row r="395" spans="17:25" ht="15.75" customHeight="1" x14ac:dyDescent="0.25">
      <c r="Q395" s="99"/>
      <c r="R395" s="99"/>
      <c r="S395" s="99"/>
      <c r="T395" s="100"/>
      <c r="V395" s="99"/>
      <c r="W395" s="99"/>
      <c r="Y395" s="47"/>
    </row>
    <row r="396" spans="17:25" ht="15.75" customHeight="1" x14ac:dyDescent="0.25">
      <c r="Q396" s="99"/>
      <c r="R396" s="99"/>
      <c r="S396" s="99"/>
      <c r="T396" s="100"/>
      <c r="V396" s="99"/>
      <c r="W396" s="99"/>
      <c r="Y396" s="47"/>
    </row>
    <row r="397" spans="17:25" ht="15.75" customHeight="1" x14ac:dyDescent="0.25">
      <c r="Q397" s="99"/>
      <c r="R397" s="99"/>
      <c r="S397" s="99"/>
      <c r="T397" s="100"/>
      <c r="V397" s="99"/>
      <c r="W397" s="99"/>
      <c r="Y397" s="47"/>
    </row>
    <row r="398" spans="17:25" ht="15.75" customHeight="1" x14ac:dyDescent="0.25">
      <c r="Q398" s="99"/>
      <c r="R398" s="99"/>
      <c r="S398" s="99"/>
      <c r="T398" s="100"/>
      <c r="V398" s="99"/>
      <c r="W398" s="99"/>
      <c r="Y398" s="47"/>
    </row>
    <row r="399" spans="17:25" ht="15.75" customHeight="1" x14ac:dyDescent="0.25">
      <c r="Q399" s="99"/>
      <c r="R399" s="99"/>
      <c r="S399" s="99"/>
      <c r="T399" s="100"/>
      <c r="V399" s="99"/>
      <c r="W399" s="99"/>
      <c r="Y399" s="47"/>
    </row>
    <row r="400" spans="17:25" ht="15.75" customHeight="1" x14ac:dyDescent="0.25">
      <c r="Q400" s="99"/>
      <c r="R400" s="99"/>
      <c r="S400" s="99"/>
      <c r="T400" s="100"/>
      <c r="V400" s="99"/>
      <c r="W400" s="99"/>
      <c r="Y400" s="47"/>
    </row>
    <row r="401" spans="17:25" ht="15.75" customHeight="1" x14ac:dyDescent="0.25">
      <c r="Q401" s="99"/>
      <c r="R401" s="99"/>
      <c r="S401" s="99"/>
      <c r="T401" s="100"/>
      <c r="V401" s="99"/>
      <c r="W401" s="99"/>
      <c r="Y401" s="47"/>
    </row>
    <row r="402" spans="17:25" ht="15.75" customHeight="1" x14ac:dyDescent="0.25">
      <c r="Q402" s="99"/>
      <c r="R402" s="99"/>
      <c r="S402" s="99"/>
      <c r="T402" s="100"/>
      <c r="V402" s="99"/>
      <c r="W402" s="99"/>
      <c r="Y402" s="47"/>
    </row>
    <row r="403" spans="17:25" ht="15.75" customHeight="1" x14ac:dyDescent="0.25">
      <c r="Q403" s="99"/>
      <c r="R403" s="99"/>
      <c r="S403" s="99"/>
      <c r="T403" s="100"/>
      <c r="V403" s="99"/>
      <c r="W403" s="99"/>
      <c r="Y403" s="47"/>
    </row>
    <row r="404" spans="17:25" ht="15.75" customHeight="1" x14ac:dyDescent="0.25">
      <c r="Q404" s="99"/>
      <c r="R404" s="99"/>
      <c r="S404" s="99"/>
      <c r="T404" s="100"/>
      <c r="V404" s="99"/>
      <c r="W404" s="99"/>
      <c r="Y404" s="47"/>
    </row>
    <row r="405" spans="17:25" ht="15.75" customHeight="1" x14ac:dyDescent="0.25">
      <c r="Q405" s="99"/>
      <c r="R405" s="99"/>
      <c r="S405" s="99"/>
      <c r="T405" s="100"/>
      <c r="V405" s="99"/>
      <c r="W405" s="99"/>
      <c r="Y405" s="47"/>
    </row>
    <row r="406" spans="17:25" ht="15.75" customHeight="1" x14ac:dyDescent="0.25">
      <c r="Q406" s="99"/>
      <c r="R406" s="99"/>
      <c r="S406" s="99"/>
      <c r="T406" s="100"/>
      <c r="V406" s="99"/>
      <c r="W406" s="99"/>
      <c r="Y406" s="47"/>
    </row>
    <row r="407" spans="17:25" ht="15.75" customHeight="1" x14ac:dyDescent="0.25">
      <c r="Q407" s="99"/>
      <c r="R407" s="99"/>
      <c r="S407" s="99"/>
      <c r="T407" s="100"/>
      <c r="V407" s="99"/>
      <c r="W407" s="99"/>
      <c r="Y407" s="47"/>
    </row>
    <row r="408" spans="17:25" ht="15.75" customHeight="1" x14ac:dyDescent="0.25">
      <c r="Q408" s="99"/>
      <c r="R408" s="99"/>
      <c r="S408" s="99"/>
      <c r="T408" s="100"/>
      <c r="V408" s="99"/>
      <c r="W408" s="99"/>
      <c r="Y408" s="47"/>
    </row>
    <row r="409" spans="17:25" ht="15.75" customHeight="1" x14ac:dyDescent="0.25">
      <c r="Q409" s="99"/>
      <c r="R409" s="99"/>
      <c r="S409" s="99"/>
      <c r="T409" s="100"/>
      <c r="V409" s="99"/>
      <c r="W409" s="99"/>
      <c r="Y409" s="47"/>
    </row>
    <row r="410" spans="17:25" ht="15.75" customHeight="1" x14ac:dyDescent="0.25">
      <c r="Q410" s="99"/>
      <c r="R410" s="99"/>
      <c r="S410" s="99"/>
      <c r="T410" s="100"/>
      <c r="V410" s="99"/>
      <c r="W410" s="99"/>
      <c r="Y410" s="47"/>
    </row>
    <row r="411" spans="17:25" ht="15.75" customHeight="1" x14ac:dyDescent="0.25">
      <c r="Q411" s="99"/>
      <c r="R411" s="99"/>
      <c r="S411" s="99"/>
      <c r="T411" s="100"/>
      <c r="V411" s="99"/>
      <c r="W411" s="99"/>
      <c r="Y411" s="47"/>
    </row>
    <row r="412" spans="17:25" ht="15.75" customHeight="1" x14ac:dyDescent="0.25">
      <c r="Q412" s="99"/>
      <c r="R412" s="99"/>
      <c r="S412" s="99"/>
      <c r="T412" s="100"/>
      <c r="V412" s="99"/>
      <c r="W412" s="99"/>
      <c r="Y412" s="47"/>
    </row>
    <row r="413" spans="17:25" ht="15.75" customHeight="1" x14ac:dyDescent="0.25">
      <c r="Q413" s="99"/>
      <c r="R413" s="99"/>
      <c r="S413" s="99"/>
      <c r="T413" s="100"/>
      <c r="V413" s="99"/>
      <c r="W413" s="99"/>
      <c r="Y413" s="47"/>
    </row>
    <row r="414" spans="17:25" ht="15.75" customHeight="1" x14ac:dyDescent="0.25">
      <c r="Q414" s="99"/>
      <c r="R414" s="99"/>
      <c r="S414" s="99"/>
      <c r="T414" s="100"/>
      <c r="V414" s="99"/>
      <c r="W414" s="99"/>
      <c r="Y414" s="47"/>
    </row>
    <row r="415" spans="17:25" ht="15.75" customHeight="1" x14ac:dyDescent="0.25">
      <c r="Q415" s="99"/>
      <c r="R415" s="99"/>
      <c r="S415" s="99"/>
      <c r="T415" s="100"/>
      <c r="V415" s="99"/>
      <c r="W415" s="99"/>
      <c r="Y415" s="47"/>
    </row>
    <row r="416" spans="17:25" ht="15.75" customHeight="1" x14ac:dyDescent="0.25">
      <c r="Q416" s="99"/>
      <c r="R416" s="99"/>
      <c r="S416" s="99"/>
      <c r="T416" s="100"/>
      <c r="V416" s="99"/>
      <c r="W416" s="99"/>
      <c r="Y416" s="47"/>
    </row>
    <row r="417" spans="17:25" ht="15.75" customHeight="1" x14ac:dyDescent="0.25">
      <c r="Q417" s="99"/>
      <c r="R417" s="99"/>
      <c r="S417" s="99"/>
      <c r="T417" s="100"/>
      <c r="V417" s="99"/>
      <c r="W417" s="99"/>
      <c r="Y417" s="47"/>
    </row>
    <row r="418" spans="17:25" ht="15.75" customHeight="1" x14ac:dyDescent="0.25">
      <c r="Q418" s="99"/>
      <c r="R418" s="99"/>
      <c r="S418" s="99"/>
      <c r="T418" s="100"/>
      <c r="V418" s="99"/>
      <c r="W418" s="99"/>
      <c r="Y418" s="47"/>
    </row>
    <row r="419" spans="17:25" ht="15.75" customHeight="1" x14ac:dyDescent="0.25">
      <c r="Q419" s="99"/>
      <c r="R419" s="99"/>
      <c r="S419" s="99"/>
      <c r="T419" s="100"/>
      <c r="V419" s="99"/>
      <c r="W419" s="99"/>
      <c r="Y419" s="47"/>
    </row>
    <row r="420" spans="17:25" ht="15.75" customHeight="1" x14ac:dyDescent="0.25">
      <c r="Q420" s="99"/>
      <c r="R420" s="99"/>
      <c r="S420" s="99"/>
      <c r="T420" s="100"/>
      <c r="V420" s="99"/>
      <c r="W420" s="99"/>
      <c r="Y420" s="47"/>
    </row>
    <row r="421" spans="17:25" ht="15.75" customHeight="1" x14ac:dyDescent="0.25">
      <c r="Q421" s="99"/>
      <c r="R421" s="99"/>
      <c r="S421" s="99"/>
      <c r="T421" s="100"/>
      <c r="V421" s="99"/>
      <c r="W421" s="99"/>
      <c r="Y421" s="47"/>
    </row>
    <row r="422" spans="17:25" ht="15.75" customHeight="1" x14ac:dyDescent="0.25">
      <c r="Q422" s="99"/>
      <c r="R422" s="99"/>
      <c r="S422" s="99"/>
      <c r="T422" s="100"/>
      <c r="V422" s="99"/>
      <c r="W422" s="99"/>
      <c r="Y422" s="47"/>
    </row>
    <row r="423" spans="17:25" ht="15.75" customHeight="1" x14ac:dyDescent="0.25">
      <c r="Q423" s="99"/>
      <c r="R423" s="99"/>
      <c r="S423" s="99"/>
      <c r="T423" s="100"/>
      <c r="V423" s="99"/>
      <c r="W423" s="99"/>
      <c r="Y423" s="47"/>
    </row>
    <row r="424" spans="17:25" ht="15.75" customHeight="1" x14ac:dyDescent="0.25">
      <c r="Q424" s="99"/>
      <c r="R424" s="99"/>
      <c r="S424" s="99"/>
      <c r="T424" s="100"/>
      <c r="V424" s="99"/>
      <c r="W424" s="99"/>
      <c r="Y424" s="47"/>
    </row>
    <row r="425" spans="17:25" ht="15.75" customHeight="1" x14ac:dyDescent="0.25">
      <c r="Q425" s="99"/>
      <c r="R425" s="99"/>
      <c r="S425" s="99"/>
      <c r="T425" s="100"/>
      <c r="V425" s="99"/>
      <c r="W425" s="99"/>
      <c r="Y425" s="47"/>
    </row>
    <row r="426" spans="17:25" ht="15.75" customHeight="1" x14ac:dyDescent="0.25">
      <c r="Q426" s="99"/>
      <c r="R426" s="99"/>
      <c r="S426" s="99"/>
      <c r="T426" s="100"/>
      <c r="V426" s="99"/>
      <c r="W426" s="99"/>
      <c r="Y426" s="47"/>
    </row>
    <row r="427" spans="17:25" ht="15.75" customHeight="1" x14ac:dyDescent="0.25">
      <c r="Q427" s="99"/>
      <c r="R427" s="99"/>
      <c r="S427" s="99"/>
      <c r="T427" s="100"/>
      <c r="V427" s="99"/>
      <c r="W427" s="99"/>
      <c r="Y427" s="47"/>
    </row>
    <row r="428" spans="17:25" ht="15.75" customHeight="1" x14ac:dyDescent="0.25">
      <c r="Q428" s="99"/>
      <c r="R428" s="99"/>
      <c r="S428" s="99"/>
      <c r="T428" s="100"/>
      <c r="V428" s="99"/>
      <c r="W428" s="99"/>
      <c r="Y428" s="47"/>
    </row>
    <row r="429" spans="17:25" ht="15.75" customHeight="1" x14ac:dyDescent="0.25">
      <c r="Q429" s="99"/>
      <c r="R429" s="99"/>
      <c r="S429" s="99"/>
      <c r="T429" s="100"/>
      <c r="V429" s="99"/>
      <c r="W429" s="99"/>
      <c r="Y429" s="47"/>
    </row>
    <row r="430" spans="17:25" ht="15.75" customHeight="1" x14ac:dyDescent="0.25">
      <c r="Q430" s="99"/>
      <c r="R430" s="99"/>
      <c r="S430" s="99"/>
      <c r="T430" s="100"/>
      <c r="V430" s="99"/>
      <c r="W430" s="99"/>
      <c r="Y430" s="47"/>
    </row>
    <row r="431" spans="17:25" ht="15.75" customHeight="1" x14ac:dyDescent="0.25">
      <c r="Q431" s="99"/>
      <c r="R431" s="99"/>
      <c r="S431" s="99"/>
      <c r="T431" s="100"/>
      <c r="V431" s="99"/>
      <c r="W431" s="99"/>
      <c r="Y431" s="47"/>
    </row>
    <row r="432" spans="17:25" ht="15.75" customHeight="1" x14ac:dyDescent="0.25">
      <c r="Q432" s="99"/>
      <c r="R432" s="99"/>
      <c r="S432" s="99"/>
      <c r="T432" s="100"/>
      <c r="V432" s="99"/>
      <c r="W432" s="99"/>
      <c r="Y432" s="47"/>
    </row>
    <row r="433" spans="17:25" ht="15.75" customHeight="1" x14ac:dyDescent="0.25">
      <c r="Q433" s="99"/>
      <c r="R433" s="99"/>
      <c r="S433" s="99"/>
      <c r="T433" s="100"/>
      <c r="V433" s="99"/>
      <c r="W433" s="99"/>
      <c r="Y433" s="47"/>
    </row>
    <row r="434" spans="17:25" ht="15.75" customHeight="1" x14ac:dyDescent="0.25">
      <c r="Q434" s="99"/>
      <c r="R434" s="99"/>
      <c r="S434" s="99"/>
      <c r="T434" s="100"/>
      <c r="V434" s="99"/>
      <c r="W434" s="99"/>
      <c r="Y434" s="47"/>
    </row>
    <row r="435" spans="17:25" ht="15.75" customHeight="1" x14ac:dyDescent="0.25">
      <c r="Q435" s="99"/>
      <c r="R435" s="99"/>
      <c r="S435" s="99"/>
      <c r="T435" s="100"/>
      <c r="V435" s="99"/>
      <c r="W435" s="99"/>
      <c r="Y435" s="47"/>
    </row>
    <row r="436" spans="17:25" ht="15.75" customHeight="1" x14ac:dyDescent="0.25">
      <c r="Q436" s="99"/>
      <c r="R436" s="99"/>
      <c r="S436" s="99"/>
      <c r="T436" s="100"/>
      <c r="V436" s="99"/>
      <c r="W436" s="99"/>
      <c r="Y436" s="47"/>
    </row>
    <row r="437" spans="17:25" ht="15.75" customHeight="1" x14ac:dyDescent="0.25">
      <c r="Q437" s="99"/>
      <c r="R437" s="99"/>
      <c r="S437" s="99"/>
      <c r="T437" s="100"/>
      <c r="V437" s="99"/>
      <c r="W437" s="99"/>
      <c r="Y437" s="47"/>
    </row>
    <row r="438" spans="17:25" ht="15.75" customHeight="1" x14ac:dyDescent="0.25">
      <c r="Q438" s="99"/>
      <c r="R438" s="99"/>
      <c r="S438" s="99"/>
      <c r="T438" s="100"/>
      <c r="V438" s="99"/>
      <c r="W438" s="99"/>
      <c r="Y438" s="47"/>
    </row>
    <row r="439" spans="17:25" ht="15.75" customHeight="1" x14ac:dyDescent="0.25">
      <c r="Q439" s="99"/>
      <c r="R439" s="99"/>
      <c r="S439" s="99"/>
      <c r="T439" s="100"/>
      <c r="V439" s="99"/>
      <c r="W439" s="99"/>
      <c r="Y439" s="47"/>
    </row>
    <row r="440" spans="17:25" ht="15.75" customHeight="1" x14ac:dyDescent="0.25">
      <c r="Q440" s="99"/>
      <c r="R440" s="99"/>
      <c r="S440" s="99"/>
      <c r="T440" s="100"/>
      <c r="V440" s="99"/>
      <c r="W440" s="99"/>
      <c r="Y440" s="47"/>
    </row>
    <row r="441" spans="17:25" ht="15.75" customHeight="1" x14ac:dyDescent="0.25">
      <c r="Q441" s="99"/>
      <c r="R441" s="99"/>
      <c r="S441" s="99"/>
      <c r="T441" s="100"/>
      <c r="V441" s="99"/>
      <c r="W441" s="99"/>
      <c r="Y441" s="47"/>
    </row>
    <row r="442" spans="17:25" ht="15.75" customHeight="1" x14ac:dyDescent="0.25">
      <c r="Q442" s="99"/>
      <c r="R442" s="99"/>
      <c r="S442" s="99"/>
      <c r="T442" s="100"/>
      <c r="V442" s="99"/>
      <c r="W442" s="99"/>
      <c r="Y442" s="47"/>
    </row>
    <row r="443" spans="17:25" ht="15.75" customHeight="1" x14ac:dyDescent="0.25">
      <c r="Q443" s="99"/>
      <c r="R443" s="99"/>
      <c r="S443" s="99"/>
      <c r="T443" s="100"/>
      <c r="V443" s="99"/>
      <c r="W443" s="99"/>
      <c r="Y443" s="47"/>
    </row>
    <row r="444" spans="17:25" ht="15.75" customHeight="1" x14ac:dyDescent="0.25">
      <c r="Q444" s="99"/>
      <c r="R444" s="99"/>
      <c r="S444" s="99"/>
      <c r="T444" s="100"/>
      <c r="V444" s="99"/>
      <c r="W444" s="99"/>
      <c r="Y444" s="47"/>
    </row>
    <row r="445" spans="17:25" ht="15.75" customHeight="1" x14ac:dyDescent="0.25">
      <c r="Q445" s="99"/>
      <c r="R445" s="99"/>
      <c r="S445" s="99"/>
      <c r="T445" s="100"/>
      <c r="V445" s="99"/>
      <c r="W445" s="99"/>
      <c r="Y445" s="47"/>
    </row>
    <row r="446" spans="17:25" ht="15.75" customHeight="1" x14ac:dyDescent="0.25">
      <c r="Q446" s="99"/>
      <c r="R446" s="99"/>
      <c r="S446" s="99"/>
      <c r="T446" s="100"/>
      <c r="V446" s="99"/>
      <c r="W446" s="99"/>
      <c r="Y446" s="47"/>
    </row>
    <row r="447" spans="17:25" ht="15.75" customHeight="1" x14ac:dyDescent="0.25">
      <c r="Q447" s="99"/>
      <c r="R447" s="99"/>
      <c r="S447" s="99"/>
      <c r="T447" s="100"/>
      <c r="V447" s="99"/>
      <c r="W447" s="99"/>
      <c r="Y447" s="47"/>
    </row>
    <row r="448" spans="17:25" ht="15.75" customHeight="1" x14ac:dyDescent="0.25">
      <c r="Q448" s="99"/>
      <c r="R448" s="99"/>
      <c r="S448" s="99"/>
      <c r="T448" s="100"/>
      <c r="V448" s="99"/>
      <c r="W448" s="99"/>
      <c r="Y448" s="47"/>
    </row>
    <row r="449" spans="17:25" ht="15.75" customHeight="1" x14ac:dyDescent="0.25">
      <c r="Q449" s="99"/>
      <c r="R449" s="99"/>
      <c r="S449" s="99"/>
      <c r="T449" s="100"/>
      <c r="V449" s="99"/>
      <c r="W449" s="99"/>
      <c r="Y449" s="47"/>
    </row>
    <row r="450" spans="17:25" ht="15.75" customHeight="1" x14ac:dyDescent="0.25">
      <c r="Q450" s="99"/>
      <c r="R450" s="99"/>
      <c r="S450" s="99"/>
      <c r="T450" s="100"/>
      <c r="V450" s="99"/>
      <c r="W450" s="99"/>
      <c r="Y450" s="47"/>
    </row>
    <row r="451" spans="17:25" ht="15.75" customHeight="1" x14ac:dyDescent="0.25">
      <c r="Q451" s="99"/>
      <c r="R451" s="99"/>
      <c r="S451" s="99"/>
      <c r="T451" s="100"/>
      <c r="V451" s="99"/>
      <c r="W451" s="99"/>
      <c r="Y451" s="47"/>
    </row>
    <row r="452" spans="17:25" ht="15.75" customHeight="1" x14ac:dyDescent="0.25">
      <c r="Q452" s="99"/>
      <c r="R452" s="99"/>
      <c r="S452" s="99"/>
      <c r="T452" s="100"/>
      <c r="V452" s="99"/>
      <c r="W452" s="99"/>
      <c r="Y452" s="47"/>
    </row>
    <row r="453" spans="17:25" ht="15.75" customHeight="1" x14ac:dyDescent="0.25">
      <c r="Q453" s="99"/>
      <c r="R453" s="99"/>
      <c r="S453" s="99"/>
      <c r="T453" s="100"/>
      <c r="V453" s="99"/>
      <c r="W453" s="99"/>
      <c r="Y453" s="47"/>
    </row>
    <row r="454" spans="17:25" ht="15.75" customHeight="1" x14ac:dyDescent="0.25">
      <c r="Q454" s="99"/>
      <c r="R454" s="99"/>
      <c r="S454" s="99"/>
      <c r="T454" s="100"/>
      <c r="V454" s="99"/>
      <c r="W454" s="99"/>
      <c r="Y454" s="47"/>
    </row>
    <row r="455" spans="17:25" ht="15.75" customHeight="1" x14ac:dyDescent="0.25">
      <c r="Q455" s="99"/>
      <c r="R455" s="99"/>
      <c r="S455" s="99"/>
      <c r="T455" s="100"/>
      <c r="V455" s="99"/>
      <c r="W455" s="99"/>
      <c r="Y455" s="47"/>
    </row>
    <row r="456" spans="17:25" ht="15.75" customHeight="1" x14ac:dyDescent="0.25">
      <c r="Q456" s="99"/>
      <c r="R456" s="99"/>
      <c r="S456" s="99"/>
      <c r="T456" s="100"/>
      <c r="V456" s="99"/>
      <c r="W456" s="99"/>
      <c r="Y456" s="47"/>
    </row>
    <row r="457" spans="17:25" ht="15.75" customHeight="1" x14ac:dyDescent="0.25">
      <c r="Q457" s="99"/>
      <c r="R457" s="99"/>
      <c r="S457" s="99"/>
      <c r="T457" s="100"/>
      <c r="V457" s="99"/>
      <c r="W457" s="99"/>
      <c r="Y457" s="47"/>
    </row>
    <row r="458" spans="17:25" ht="15.75" customHeight="1" x14ac:dyDescent="0.25">
      <c r="Q458" s="99"/>
      <c r="R458" s="99"/>
      <c r="S458" s="99"/>
      <c r="T458" s="100"/>
      <c r="V458" s="99"/>
      <c r="W458" s="99"/>
      <c r="Y458" s="47"/>
    </row>
    <row r="459" spans="17:25" ht="15.75" customHeight="1" x14ac:dyDescent="0.25">
      <c r="Q459" s="99"/>
      <c r="R459" s="99"/>
      <c r="S459" s="99"/>
      <c r="T459" s="100"/>
      <c r="V459" s="99"/>
      <c r="W459" s="99"/>
      <c r="Y459" s="47"/>
    </row>
    <row r="460" spans="17:25" ht="15.75" customHeight="1" x14ac:dyDescent="0.25">
      <c r="Q460" s="99"/>
      <c r="R460" s="99"/>
      <c r="S460" s="99"/>
      <c r="T460" s="100"/>
      <c r="V460" s="99"/>
      <c r="W460" s="99"/>
      <c r="Y460" s="47"/>
    </row>
    <row r="461" spans="17:25" ht="15.75" customHeight="1" x14ac:dyDescent="0.25">
      <c r="Q461" s="99"/>
      <c r="R461" s="99"/>
      <c r="S461" s="99"/>
      <c r="T461" s="100"/>
      <c r="V461" s="99"/>
      <c r="W461" s="99"/>
      <c r="Y461" s="47"/>
    </row>
    <row r="462" spans="17:25" ht="15.75" customHeight="1" x14ac:dyDescent="0.25">
      <c r="Q462" s="99"/>
      <c r="R462" s="99"/>
      <c r="S462" s="99"/>
      <c r="T462" s="100"/>
      <c r="V462" s="99"/>
      <c r="W462" s="99"/>
      <c r="Y462" s="47"/>
    </row>
    <row r="463" spans="17:25" ht="15.75" customHeight="1" x14ac:dyDescent="0.25">
      <c r="Q463" s="99"/>
      <c r="R463" s="99"/>
      <c r="S463" s="99"/>
      <c r="T463" s="100"/>
      <c r="V463" s="99"/>
      <c r="W463" s="99"/>
      <c r="Y463" s="47"/>
    </row>
    <row r="464" spans="17:25" ht="15.75" customHeight="1" x14ac:dyDescent="0.25">
      <c r="Q464" s="99"/>
      <c r="R464" s="99"/>
      <c r="S464" s="99"/>
      <c r="T464" s="100"/>
      <c r="V464" s="99"/>
      <c r="W464" s="99"/>
      <c r="Y464" s="47"/>
    </row>
    <row r="465" spans="17:25" ht="15.75" customHeight="1" x14ac:dyDescent="0.25">
      <c r="Q465" s="99"/>
      <c r="R465" s="99"/>
      <c r="S465" s="99"/>
      <c r="T465" s="100"/>
      <c r="V465" s="99"/>
      <c r="W465" s="99"/>
      <c r="Y465" s="47"/>
    </row>
    <row r="466" spans="17:25" ht="15.75" customHeight="1" x14ac:dyDescent="0.25">
      <c r="Q466" s="99"/>
      <c r="R466" s="99"/>
      <c r="S466" s="99"/>
      <c r="T466" s="100"/>
      <c r="V466" s="99"/>
      <c r="W466" s="99"/>
      <c r="Y466" s="47"/>
    </row>
    <row r="467" spans="17:25" ht="15.75" customHeight="1" x14ac:dyDescent="0.25">
      <c r="Q467" s="99"/>
      <c r="R467" s="99"/>
      <c r="S467" s="99"/>
      <c r="T467" s="100"/>
      <c r="V467" s="99"/>
      <c r="W467" s="99"/>
      <c r="Y467" s="47"/>
    </row>
    <row r="468" spans="17:25" ht="15.75" customHeight="1" x14ac:dyDescent="0.25">
      <c r="Q468" s="99"/>
      <c r="R468" s="99"/>
      <c r="S468" s="99"/>
      <c r="T468" s="100"/>
      <c r="V468" s="99"/>
      <c r="W468" s="99"/>
      <c r="Y468" s="47"/>
    </row>
    <row r="469" spans="17:25" ht="15.75" customHeight="1" x14ac:dyDescent="0.25">
      <c r="Q469" s="99"/>
      <c r="R469" s="99"/>
      <c r="S469" s="99"/>
      <c r="T469" s="100"/>
      <c r="V469" s="99"/>
      <c r="W469" s="99"/>
      <c r="Y469" s="47"/>
    </row>
    <row r="470" spans="17:25" ht="15.75" customHeight="1" x14ac:dyDescent="0.25">
      <c r="Q470" s="99"/>
      <c r="R470" s="99"/>
      <c r="S470" s="99"/>
      <c r="T470" s="100"/>
      <c r="V470" s="99"/>
      <c r="W470" s="99"/>
      <c r="Y470" s="47"/>
    </row>
    <row r="471" spans="17:25" ht="15.75" customHeight="1" x14ac:dyDescent="0.25">
      <c r="Q471" s="99"/>
      <c r="R471" s="99"/>
      <c r="S471" s="99"/>
      <c r="T471" s="100"/>
      <c r="V471" s="99"/>
      <c r="W471" s="99"/>
      <c r="Y471" s="47"/>
    </row>
    <row r="472" spans="17:25" ht="15.75" customHeight="1" x14ac:dyDescent="0.25">
      <c r="Q472" s="99"/>
      <c r="R472" s="99"/>
      <c r="S472" s="99"/>
      <c r="T472" s="100"/>
      <c r="V472" s="99"/>
      <c r="W472" s="99"/>
      <c r="Y472" s="47"/>
    </row>
    <row r="473" spans="17:25" ht="15.75" customHeight="1" x14ac:dyDescent="0.25">
      <c r="Q473" s="99"/>
      <c r="R473" s="99"/>
      <c r="S473" s="99"/>
      <c r="T473" s="100"/>
      <c r="V473" s="99"/>
      <c r="W473" s="99"/>
      <c r="Y473" s="47"/>
    </row>
    <row r="474" spans="17:25" ht="15.75" customHeight="1" x14ac:dyDescent="0.25">
      <c r="Q474" s="99"/>
      <c r="R474" s="99"/>
      <c r="S474" s="99"/>
      <c r="T474" s="100"/>
      <c r="V474" s="99"/>
      <c r="W474" s="99"/>
      <c r="Y474" s="47"/>
    </row>
    <row r="475" spans="17:25" ht="15.75" customHeight="1" x14ac:dyDescent="0.25">
      <c r="Q475" s="99"/>
      <c r="R475" s="99"/>
      <c r="S475" s="99"/>
      <c r="T475" s="100"/>
      <c r="V475" s="99"/>
      <c r="W475" s="99"/>
      <c r="Y475" s="47"/>
    </row>
    <row r="476" spans="17:25" ht="15.75" customHeight="1" x14ac:dyDescent="0.25">
      <c r="Q476" s="99"/>
      <c r="R476" s="99"/>
      <c r="S476" s="99"/>
      <c r="T476" s="100"/>
      <c r="V476" s="99"/>
      <c r="W476" s="99"/>
      <c r="Y476" s="47"/>
    </row>
    <row r="477" spans="17:25" ht="15.75" customHeight="1" x14ac:dyDescent="0.25">
      <c r="Q477" s="99"/>
      <c r="R477" s="99"/>
      <c r="S477" s="99"/>
      <c r="T477" s="100"/>
      <c r="V477" s="99"/>
      <c r="W477" s="99"/>
      <c r="Y477" s="47"/>
    </row>
    <row r="478" spans="17:25" ht="15.75" customHeight="1" x14ac:dyDescent="0.25">
      <c r="Q478" s="99"/>
      <c r="R478" s="99"/>
      <c r="S478" s="99"/>
      <c r="T478" s="100"/>
      <c r="V478" s="99"/>
      <c r="W478" s="99"/>
      <c r="Y478" s="47"/>
    </row>
    <row r="479" spans="17:25" ht="15.75" customHeight="1" x14ac:dyDescent="0.25">
      <c r="Q479" s="99"/>
      <c r="R479" s="99"/>
      <c r="S479" s="99"/>
      <c r="T479" s="100"/>
      <c r="V479" s="99"/>
      <c r="W479" s="99"/>
      <c r="Y479" s="47"/>
    </row>
    <row r="480" spans="17:25" ht="15.75" customHeight="1" x14ac:dyDescent="0.25">
      <c r="Q480" s="99"/>
      <c r="R480" s="99"/>
      <c r="S480" s="99"/>
      <c r="T480" s="100"/>
      <c r="V480" s="99"/>
      <c r="W480" s="99"/>
      <c r="Y480" s="47"/>
    </row>
    <row r="481" spans="17:25" ht="15.75" customHeight="1" x14ac:dyDescent="0.25">
      <c r="Q481" s="99"/>
      <c r="R481" s="99"/>
      <c r="S481" s="99"/>
      <c r="T481" s="100"/>
      <c r="V481" s="99"/>
      <c r="W481" s="99"/>
      <c r="Y481" s="47"/>
    </row>
    <row r="482" spans="17:25" ht="15.75" customHeight="1" x14ac:dyDescent="0.25">
      <c r="Q482" s="99"/>
      <c r="R482" s="99"/>
      <c r="S482" s="99"/>
      <c r="T482" s="100"/>
      <c r="V482" s="99"/>
      <c r="W482" s="99"/>
      <c r="Y482" s="47"/>
    </row>
    <row r="483" spans="17:25" ht="15.75" customHeight="1" x14ac:dyDescent="0.25">
      <c r="Q483" s="99"/>
      <c r="R483" s="99"/>
      <c r="S483" s="99"/>
      <c r="T483" s="100"/>
      <c r="V483" s="99"/>
      <c r="W483" s="99"/>
      <c r="Y483" s="47"/>
    </row>
    <row r="484" spans="17:25" ht="15.75" customHeight="1" x14ac:dyDescent="0.25">
      <c r="Q484" s="99"/>
      <c r="R484" s="99"/>
      <c r="S484" s="99"/>
      <c r="T484" s="100"/>
      <c r="V484" s="99"/>
      <c r="W484" s="99"/>
      <c r="Y484" s="47"/>
    </row>
    <row r="485" spans="17:25" ht="15.75" customHeight="1" x14ac:dyDescent="0.25">
      <c r="Q485" s="99"/>
      <c r="R485" s="99"/>
      <c r="S485" s="99"/>
      <c r="T485" s="100"/>
      <c r="V485" s="99"/>
      <c r="W485" s="99"/>
      <c r="Y485" s="47"/>
    </row>
    <row r="486" spans="17:25" ht="15.75" customHeight="1" x14ac:dyDescent="0.25">
      <c r="Q486" s="99"/>
      <c r="R486" s="99"/>
      <c r="S486" s="99"/>
      <c r="T486" s="100"/>
      <c r="V486" s="99"/>
      <c r="W486" s="99"/>
      <c r="Y486" s="47"/>
    </row>
    <row r="487" spans="17:25" ht="15.75" customHeight="1" x14ac:dyDescent="0.25">
      <c r="Q487" s="99"/>
      <c r="R487" s="99"/>
      <c r="S487" s="99"/>
      <c r="T487" s="100"/>
      <c r="V487" s="99"/>
      <c r="W487" s="99"/>
      <c r="Y487" s="47"/>
    </row>
    <row r="488" spans="17:25" ht="15.75" customHeight="1" x14ac:dyDescent="0.25">
      <c r="Q488" s="99"/>
      <c r="R488" s="99"/>
      <c r="S488" s="99"/>
      <c r="T488" s="100"/>
      <c r="V488" s="99"/>
      <c r="W488" s="99"/>
      <c r="Y488" s="47"/>
    </row>
    <row r="489" spans="17:25" ht="15.75" customHeight="1" x14ac:dyDescent="0.25">
      <c r="Q489" s="99"/>
      <c r="R489" s="99"/>
      <c r="S489" s="99"/>
      <c r="T489" s="100"/>
      <c r="V489" s="99"/>
      <c r="W489" s="99"/>
      <c r="Y489" s="47"/>
    </row>
    <row r="490" spans="17:25" ht="15.75" customHeight="1" x14ac:dyDescent="0.25">
      <c r="Q490" s="99"/>
      <c r="R490" s="99"/>
      <c r="S490" s="99"/>
      <c r="T490" s="100"/>
      <c r="V490" s="99"/>
      <c r="W490" s="99"/>
      <c r="Y490" s="47"/>
    </row>
    <row r="491" spans="17:25" ht="15.75" customHeight="1" x14ac:dyDescent="0.25">
      <c r="Q491" s="99"/>
      <c r="R491" s="99"/>
      <c r="S491" s="99"/>
      <c r="T491" s="100"/>
      <c r="V491" s="99"/>
      <c r="W491" s="99"/>
      <c r="Y491" s="47"/>
    </row>
    <row r="492" spans="17:25" ht="15.75" customHeight="1" x14ac:dyDescent="0.25">
      <c r="Q492" s="99"/>
      <c r="R492" s="99"/>
      <c r="S492" s="99"/>
      <c r="T492" s="100"/>
      <c r="V492" s="99"/>
      <c r="W492" s="99"/>
      <c r="Y492" s="47"/>
    </row>
    <row r="493" spans="17:25" ht="15.75" customHeight="1" x14ac:dyDescent="0.25">
      <c r="Q493" s="99"/>
      <c r="R493" s="99"/>
      <c r="S493" s="99"/>
      <c r="T493" s="100"/>
      <c r="V493" s="99"/>
      <c r="W493" s="99"/>
      <c r="Y493" s="47"/>
    </row>
    <row r="494" spans="17:25" ht="15.75" customHeight="1" x14ac:dyDescent="0.25">
      <c r="Q494" s="99"/>
      <c r="R494" s="99"/>
      <c r="S494" s="99"/>
      <c r="T494" s="100"/>
      <c r="V494" s="99"/>
      <c r="W494" s="99"/>
      <c r="Y494" s="47"/>
    </row>
    <row r="495" spans="17:25" ht="15.75" customHeight="1" x14ac:dyDescent="0.25">
      <c r="Q495" s="99"/>
      <c r="R495" s="99"/>
      <c r="S495" s="99"/>
      <c r="T495" s="100"/>
      <c r="V495" s="99"/>
      <c r="W495" s="99"/>
      <c r="Y495" s="47"/>
    </row>
    <row r="496" spans="17:25" ht="15.75" customHeight="1" x14ac:dyDescent="0.25">
      <c r="Q496" s="99"/>
      <c r="R496" s="99"/>
      <c r="S496" s="99"/>
      <c r="T496" s="100"/>
      <c r="V496" s="99"/>
      <c r="W496" s="99"/>
      <c r="Y496" s="47"/>
    </row>
    <row r="497" spans="17:25" ht="15.75" customHeight="1" x14ac:dyDescent="0.25">
      <c r="Q497" s="99"/>
      <c r="R497" s="99"/>
      <c r="S497" s="99"/>
      <c r="T497" s="100"/>
      <c r="V497" s="99"/>
      <c r="W497" s="99"/>
      <c r="Y497" s="47"/>
    </row>
    <row r="498" spans="17:25" ht="15.75" customHeight="1" x14ac:dyDescent="0.25">
      <c r="Q498" s="99"/>
      <c r="R498" s="99"/>
      <c r="S498" s="99"/>
      <c r="T498" s="100"/>
      <c r="V498" s="99"/>
      <c r="W498" s="99"/>
      <c r="Y498" s="47"/>
    </row>
    <row r="499" spans="17:25" ht="15.75" customHeight="1" x14ac:dyDescent="0.25">
      <c r="Q499" s="99"/>
      <c r="R499" s="99"/>
      <c r="S499" s="99"/>
      <c r="T499" s="100"/>
      <c r="V499" s="99"/>
      <c r="W499" s="99"/>
      <c r="Y499" s="47"/>
    </row>
    <row r="500" spans="17:25" ht="15.75" customHeight="1" x14ac:dyDescent="0.25">
      <c r="Q500" s="99"/>
      <c r="R500" s="99"/>
      <c r="S500" s="99"/>
      <c r="T500" s="100"/>
      <c r="V500" s="99"/>
      <c r="W500" s="99"/>
      <c r="Y500" s="47"/>
    </row>
    <row r="501" spans="17:25" ht="15.75" customHeight="1" x14ac:dyDescent="0.25">
      <c r="Q501" s="99"/>
      <c r="R501" s="99"/>
      <c r="S501" s="99"/>
      <c r="T501" s="100"/>
      <c r="V501" s="99"/>
      <c r="W501" s="99"/>
      <c r="Y501" s="47"/>
    </row>
    <row r="502" spans="17:25" ht="15.75" customHeight="1" x14ac:dyDescent="0.25">
      <c r="Q502" s="99"/>
      <c r="R502" s="99"/>
      <c r="S502" s="99"/>
      <c r="T502" s="100"/>
      <c r="V502" s="99"/>
      <c r="W502" s="99"/>
      <c r="Y502" s="47"/>
    </row>
    <row r="503" spans="17:25" ht="15.75" customHeight="1" x14ac:dyDescent="0.25">
      <c r="Q503" s="99"/>
      <c r="R503" s="99"/>
      <c r="S503" s="99"/>
      <c r="T503" s="100"/>
      <c r="V503" s="99"/>
      <c r="W503" s="99"/>
      <c r="Y503" s="47"/>
    </row>
    <row r="504" spans="17:25" ht="15.75" customHeight="1" x14ac:dyDescent="0.25">
      <c r="Q504" s="99"/>
      <c r="R504" s="99"/>
      <c r="S504" s="99"/>
      <c r="T504" s="100"/>
      <c r="V504" s="99"/>
      <c r="W504" s="99"/>
      <c r="Y504" s="47"/>
    </row>
    <row r="505" spans="17:25" ht="15.75" customHeight="1" x14ac:dyDescent="0.25">
      <c r="Q505" s="99"/>
      <c r="R505" s="99"/>
      <c r="S505" s="99"/>
      <c r="T505" s="100"/>
      <c r="V505" s="99"/>
      <c r="W505" s="99"/>
      <c r="Y505" s="47"/>
    </row>
    <row r="506" spans="17:25" ht="15.75" customHeight="1" x14ac:dyDescent="0.25">
      <c r="Q506" s="99"/>
      <c r="R506" s="99"/>
      <c r="S506" s="99"/>
      <c r="T506" s="100"/>
      <c r="V506" s="99"/>
      <c r="W506" s="99"/>
      <c r="Y506" s="47"/>
    </row>
    <row r="507" spans="17:25" ht="15.75" customHeight="1" x14ac:dyDescent="0.25">
      <c r="Q507" s="99"/>
      <c r="R507" s="99"/>
      <c r="S507" s="99"/>
      <c r="T507" s="100"/>
      <c r="V507" s="99"/>
      <c r="W507" s="99"/>
      <c r="Y507" s="47"/>
    </row>
    <row r="508" spans="17:25" ht="15.75" customHeight="1" x14ac:dyDescent="0.25">
      <c r="Q508" s="99"/>
      <c r="R508" s="99"/>
      <c r="S508" s="99"/>
      <c r="T508" s="100"/>
      <c r="V508" s="99"/>
      <c r="W508" s="99"/>
      <c r="Y508" s="47"/>
    </row>
    <row r="509" spans="17:25" ht="15.75" customHeight="1" x14ac:dyDescent="0.25">
      <c r="Q509" s="99"/>
      <c r="R509" s="99"/>
      <c r="S509" s="99"/>
      <c r="T509" s="100"/>
      <c r="V509" s="99"/>
      <c r="W509" s="99"/>
      <c r="Y509" s="47"/>
    </row>
    <row r="510" spans="17:25" ht="15.75" customHeight="1" x14ac:dyDescent="0.25">
      <c r="Q510" s="99"/>
      <c r="R510" s="99"/>
      <c r="S510" s="99"/>
      <c r="T510" s="100"/>
      <c r="V510" s="99"/>
      <c r="W510" s="99"/>
      <c r="Y510" s="47"/>
    </row>
    <row r="511" spans="17:25" ht="15.75" customHeight="1" x14ac:dyDescent="0.25">
      <c r="Q511" s="99"/>
      <c r="R511" s="99"/>
      <c r="S511" s="99"/>
      <c r="T511" s="100"/>
      <c r="V511" s="99"/>
      <c r="W511" s="99"/>
      <c r="Y511" s="47"/>
    </row>
    <row r="512" spans="17:25" ht="15.75" customHeight="1" x14ac:dyDescent="0.25">
      <c r="Q512" s="99"/>
      <c r="R512" s="99"/>
      <c r="S512" s="99"/>
      <c r="T512" s="100"/>
      <c r="V512" s="99"/>
      <c r="W512" s="99"/>
      <c r="Y512" s="47"/>
    </row>
    <row r="513" spans="17:25" ht="15.75" customHeight="1" x14ac:dyDescent="0.25">
      <c r="Q513" s="99"/>
      <c r="R513" s="99"/>
      <c r="S513" s="99"/>
      <c r="T513" s="100"/>
      <c r="V513" s="99"/>
      <c r="W513" s="99"/>
      <c r="Y513" s="47"/>
    </row>
    <row r="514" spans="17:25" ht="15.75" customHeight="1" x14ac:dyDescent="0.25">
      <c r="Q514" s="99"/>
      <c r="R514" s="99"/>
      <c r="S514" s="99"/>
      <c r="T514" s="100"/>
      <c r="V514" s="99"/>
      <c r="W514" s="99"/>
      <c r="Y514" s="47"/>
    </row>
    <row r="515" spans="17:25" ht="15.75" customHeight="1" x14ac:dyDescent="0.25">
      <c r="Q515" s="99"/>
      <c r="R515" s="99"/>
      <c r="S515" s="99"/>
      <c r="T515" s="100"/>
      <c r="V515" s="99"/>
      <c r="W515" s="99"/>
      <c r="Y515" s="47"/>
    </row>
    <row r="516" spans="17:25" ht="15.75" customHeight="1" x14ac:dyDescent="0.25">
      <c r="Q516" s="99"/>
      <c r="R516" s="99"/>
      <c r="S516" s="99"/>
      <c r="T516" s="100"/>
      <c r="V516" s="99"/>
      <c r="W516" s="99"/>
      <c r="Y516" s="47"/>
    </row>
    <row r="517" spans="17:25" ht="15.75" customHeight="1" x14ac:dyDescent="0.25">
      <c r="Q517" s="99"/>
      <c r="R517" s="99"/>
      <c r="S517" s="99"/>
      <c r="T517" s="100"/>
      <c r="V517" s="99"/>
      <c r="W517" s="99"/>
      <c r="Y517" s="47"/>
    </row>
    <row r="518" spans="17:25" ht="15.75" customHeight="1" x14ac:dyDescent="0.25">
      <c r="Q518" s="99"/>
      <c r="R518" s="99"/>
      <c r="S518" s="99"/>
      <c r="T518" s="100"/>
      <c r="V518" s="99"/>
      <c r="W518" s="99"/>
      <c r="Y518" s="47"/>
    </row>
    <row r="519" spans="17:25" ht="15.75" customHeight="1" x14ac:dyDescent="0.25">
      <c r="Q519" s="99"/>
      <c r="R519" s="99"/>
      <c r="S519" s="99"/>
      <c r="T519" s="100"/>
      <c r="V519" s="99"/>
      <c r="W519" s="99"/>
      <c r="Y519" s="47"/>
    </row>
    <row r="520" spans="17:25" ht="15.75" customHeight="1" x14ac:dyDescent="0.25">
      <c r="Q520" s="99"/>
      <c r="R520" s="99"/>
      <c r="S520" s="99"/>
      <c r="T520" s="100"/>
      <c r="V520" s="99"/>
      <c r="W520" s="99"/>
      <c r="Y520" s="47"/>
    </row>
    <row r="521" spans="17:25" ht="15.75" customHeight="1" x14ac:dyDescent="0.25">
      <c r="Q521" s="99"/>
      <c r="R521" s="99"/>
      <c r="S521" s="99"/>
      <c r="T521" s="100"/>
      <c r="V521" s="99"/>
      <c r="W521" s="99"/>
      <c r="Y521" s="47"/>
    </row>
    <row r="522" spans="17:25" ht="15.75" customHeight="1" x14ac:dyDescent="0.25">
      <c r="Q522" s="99"/>
      <c r="R522" s="99"/>
      <c r="S522" s="99"/>
      <c r="T522" s="100"/>
      <c r="V522" s="99"/>
      <c r="W522" s="99"/>
      <c r="Y522" s="47"/>
    </row>
    <row r="523" spans="17:25" ht="15.75" customHeight="1" x14ac:dyDescent="0.25">
      <c r="Q523" s="99"/>
      <c r="R523" s="99"/>
      <c r="S523" s="99"/>
      <c r="T523" s="100"/>
      <c r="V523" s="99"/>
      <c r="W523" s="99"/>
      <c r="Y523" s="47"/>
    </row>
    <row r="524" spans="17:25" ht="15.75" customHeight="1" x14ac:dyDescent="0.25">
      <c r="Q524" s="99"/>
      <c r="R524" s="99"/>
      <c r="S524" s="99"/>
      <c r="T524" s="100"/>
      <c r="V524" s="99"/>
      <c r="W524" s="99"/>
      <c r="Y524" s="47"/>
    </row>
    <row r="525" spans="17:25" ht="15.75" customHeight="1" x14ac:dyDescent="0.25">
      <c r="Q525" s="99"/>
      <c r="R525" s="99"/>
      <c r="S525" s="99"/>
      <c r="T525" s="100"/>
      <c r="V525" s="99"/>
      <c r="W525" s="99"/>
      <c r="Y525" s="47"/>
    </row>
    <row r="526" spans="17:25" ht="15.75" customHeight="1" x14ac:dyDescent="0.25">
      <c r="Q526" s="99"/>
      <c r="R526" s="99"/>
      <c r="S526" s="99"/>
      <c r="T526" s="100"/>
      <c r="V526" s="99"/>
      <c r="W526" s="99"/>
      <c r="Y526" s="47"/>
    </row>
    <row r="527" spans="17:25" ht="15.75" customHeight="1" x14ac:dyDescent="0.25">
      <c r="Q527" s="99"/>
      <c r="R527" s="99"/>
      <c r="S527" s="99"/>
      <c r="T527" s="100"/>
      <c r="V527" s="99"/>
      <c r="W527" s="99"/>
      <c r="Y527" s="47"/>
    </row>
    <row r="528" spans="17:25" ht="15.75" customHeight="1" x14ac:dyDescent="0.25">
      <c r="Q528" s="99"/>
      <c r="R528" s="99"/>
      <c r="S528" s="99"/>
      <c r="T528" s="100"/>
      <c r="V528" s="99"/>
      <c r="W528" s="99"/>
      <c r="Y528" s="47"/>
    </row>
    <row r="529" spans="17:25" ht="15.75" customHeight="1" x14ac:dyDescent="0.25">
      <c r="Q529" s="99"/>
      <c r="R529" s="99"/>
      <c r="S529" s="99"/>
      <c r="T529" s="100"/>
      <c r="V529" s="99"/>
      <c r="W529" s="99"/>
      <c r="Y529" s="47"/>
    </row>
    <row r="530" spans="17:25" ht="15.75" customHeight="1" x14ac:dyDescent="0.25">
      <c r="Q530" s="99"/>
      <c r="R530" s="99"/>
      <c r="S530" s="99"/>
      <c r="T530" s="100"/>
      <c r="V530" s="99"/>
      <c r="W530" s="99"/>
      <c r="Y530" s="47"/>
    </row>
    <row r="531" spans="17:25" ht="15.75" customHeight="1" x14ac:dyDescent="0.25">
      <c r="Q531" s="99"/>
      <c r="R531" s="99"/>
      <c r="S531" s="99"/>
      <c r="T531" s="100"/>
      <c r="V531" s="99"/>
      <c r="W531" s="99"/>
      <c r="Y531" s="47"/>
    </row>
    <row r="532" spans="17:25" ht="15.75" customHeight="1" x14ac:dyDescent="0.25">
      <c r="Q532" s="99"/>
      <c r="R532" s="99"/>
      <c r="S532" s="99"/>
      <c r="T532" s="100"/>
      <c r="V532" s="99"/>
      <c r="W532" s="99"/>
      <c r="Y532" s="47"/>
    </row>
    <row r="533" spans="17:25" ht="15.75" customHeight="1" x14ac:dyDescent="0.25">
      <c r="Q533" s="99"/>
      <c r="R533" s="99"/>
      <c r="S533" s="99"/>
      <c r="T533" s="100"/>
      <c r="V533" s="99"/>
      <c r="W533" s="99"/>
      <c r="Y533" s="47"/>
    </row>
    <row r="534" spans="17:25" ht="15.75" customHeight="1" x14ac:dyDescent="0.25">
      <c r="Q534" s="99"/>
      <c r="R534" s="99"/>
      <c r="S534" s="99"/>
      <c r="T534" s="100"/>
      <c r="V534" s="99"/>
      <c r="W534" s="99"/>
      <c r="Y534" s="47"/>
    </row>
    <row r="535" spans="17:25" ht="15.75" customHeight="1" x14ac:dyDescent="0.25">
      <c r="Q535" s="99"/>
      <c r="R535" s="99"/>
      <c r="S535" s="99"/>
      <c r="T535" s="100"/>
      <c r="V535" s="99"/>
      <c r="W535" s="99"/>
      <c r="Y535" s="47"/>
    </row>
    <row r="536" spans="17:25" ht="15.75" customHeight="1" x14ac:dyDescent="0.25">
      <c r="Q536" s="99"/>
      <c r="R536" s="99"/>
      <c r="S536" s="99"/>
      <c r="T536" s="100"/>
      <c r="V536" s="99"/>
      <c r="W536" s="99"/>
      <c r="Y536" s="47"/>
    </row>
    <row r="537" spans="17:25" ht="15.75" customHeight="1" x14ac:dyDescent="0.25">
      <c r="Q537" s="99"/>
      <c r="R537" s="99"/>
      <c r="S537" s="99"/>
      <c r="T537" s="100"/>
      <c r="V537" s="99"/>
      <c r="W537" s="99"/>
      <c r="Y537" s="47"/>
    </row>
    <row r="538" spans="17:25" ht="15.75" customHeight="1" x14ac:dyDescent="0.25">
      <c r="Q538" s="99"/>
      <c r="R538" s="99"/>
      <c r="S538" s="99"/>
      <c r="T538" s="100"/>
      <c r="V538" s="99"/>
      <c r="W538" s="99"/>
      <c r="Y538" s="47"/>
    </row>
    <row r="539" spans="17:25" ht="15.75" customHeight="1" x14ac:dyDescent="0.25">
      <c r="Q539" s="99"/>
      <c r="R539" s="99"/>
      <c r="S539" s="99"/>
      <c r="T539" s="100"/>
      <c r="V539" s="99"/>
      <c r="W539" s="99"/>
      <c r="Y539" s="47"/>
    </row>
    <row r="540" spans="17:25" ht="15.75" customHeight="1" x14ac:dyDescent="0.25">
      <c r="Q540" s="99"/>
      <c r="R540" s="99"/>
      <c r="S540" s="99"/>
      <c r="T540" s="100"/>
      <c r="V540" s="99"/>
      <c r="W540" s="99"/>
      <c r="Y540" s="47"/>
    </row>
    <row r="541" spans="17:25" ht="15.75" customHeight="1" x14ac:dyDescent="0.25">
      <c r="Q541" s="99"/>
      <c r="R541" s="99"/>
      <c r="S541" s="99"/>
      <c r="T541" s="100"/>
      <c r="V541" s="99"/>
      <c r="W541" s="99"/>
      <c r="Y541" s="47"/>
    </row>
    <row r="542" spans="17:25" ht="15.75" customHeight="1" x14ac:dyDescent="0.25">
      <c r="Q542" s="99"/>
      <c r="R542" s="99"/>
      <c r="S542" s="99"/>
      <c r="T542" s="100"/>
      <c r="V542" s="99"/>
      <c r="W542" s="99"/>
      <c r="Y542" s="47"/>
    </row>
    <row r="543" spans="17:25" ht="15.75" customHeight="1" x14ac:dyDescent="0.25">
      <c r="Q543" s="99"/>
      <c r="R543" s="99"/>
      <c r="S543" s="99"/>
      <c r="T543" s="100"/>
      <c r="V543" s="99"/>
      <c r="W543" s="99"/>
      <c r="Y543" s="47"/>
    </row>
    <row r="544" spans="17:25" ht="15.75" customHeight="1" x14ac:dyDescent="0.25">
      <c r="Q544" s="99"/>
      <c r="R544" s="99"/>
      <c r="S544" s="99"/>
      <c r="T544" s="100"/>
      <c r="V544" s="99"/>
      <c r="W544" s="99"/>
      <c r="Y544" s="47"/>
    </row>
    <row r="545" spans="17:25" ht="15.75" customHeight="1" x14ac:dyDescent="0.25">
      <c r="Q545" s="99"/>
      <c r="R545" s="99"/>
      <c r="S545" s="99"/>
      <c r="T545" s="100"/>
      <c r="V545" s="99"/>
      <c r="W545" s="99"/>
      <c r="Y545" s="47"/>
    </row>
    <row r="546" spans="17:25" ht="15.75" customHeight="1" x14ac:dyDescent="0.25">
      <c r="Q546" s="99"/>
      <c r="R546" s="99"/>
      <c r="S546" s="99"/>
      <c r="T546" s="100"/>
      <c r="V546" s="99"/>
      <c r="W546" s="99"/>
      <c r="Y546" s="47"/>
    </row>
    <row r="547" spans="17:25" ht="15.75" customHeight="1" x14ac:dyDescent="0.25">
      <c r="Q547" s="99"/>
      <c r="R547" s="99"/>
      <c r="S547" s="99"/>
      <c r="T547" s="100"/>
      <c r="V547" s="99"/>
      <c r="W547" s="99"/>
      <c r="Y547" s="47"/>
    </row>
    <row r="548" spans="17:25" ht="15.75" customHeight="1" x14ac:dyDescent="0.25">
      <c r="Q548" s="99"/>
      <c r="R548" s="99"/>
      <c r="S548" s="99"/>
      <c r="T548" s="100"/>
      <c r="V548" s="99"/>
      <c r="W548" s="99"/>
      <c r="Y548" s="47"/>
    </row>
    <row r="549" spans="17:25" ht="15.75" customHeight="1" x14ac:dyDescent="0.25">
      <c r="Q549" s="99"/>
      <c r="R549" s="99"/>
      <c r="S549" s="99"/>
      <c r="T549" s="100"/>
      <c r="V549" s="99"/>
      <c r="W549" s="99"/>
      <c r="Y549" s="47"/>
    </row>
    <row r="550" spans="17:25" ht="15.75" customHeight="1" x14ac:dyDescent="0.25">
      <c r="Q550" s="99"/>
      <c r="R550" s="99"/>
      <c r="S550" s="99"/>
      <c r="T550" s="100"/>
      <c r="V550" s="99"/>
      <c r="W550" s="99"/>
      <c r="Y550" s="47"/>
    </row>
    <row r="551" spans="17:25" ht="15.75" customHeight="1" x14ac:dyDescent="0.25">
      <c r="Q551" s="99"/>
      <c r="R551" s="99"/>
      <c r="S551" s="99"/>
      <c r="T551" s="100"/>
      <c r="V551" s="99"/>
      <c r="W551" s="99"/>
      <c r="Y551" s="47"/>
    </row>
    <row r="552" spans="17:25" ht="15.75" customHeight="1" x14ac:dyDescent="0.25">
      <c r="Q552" s="99"/>
      <c r="R552" s="99"/>
      <c r="S552" s="99"/>
      <c r="T552" s="100"/>
      <c r="V552" s="99"/>
      <c r="W552" s="99"/>
      <c r="Y552" s="47"/>
    </row>
    <row r="553" spans="17:25" ht="15.75" customHeight="1" x14ac:dyDescent="0.25">
      <c r="Q553" s="99"/>
      <c r="R553" s="99"/>
      <c r="S553" s="99"/>
      <c r="T553" s="100"/>
      <c r="V553" s="99"/>
      <c r="W553" s="99"/>
      <c r="Y553" s="47"/>
    </row>
    <row r="554" spans="17:25" ht="15.75" customHeight="1" x14ac:dyDescent="0.25">
      <c r="Q554" s="99"/>
      <c r="R554" s="99"/>
      <c r="S554" s="99"/>
      <c r="T554" s="100"/>
      <c r="V554" s="99"/>
      <c r="W554" s="99"/>
      <c r="Y554" s="47"/>
    </row>
    <row r="555" spans="17:25" ht="15.75" customHeight="1" x14ac:dyDescent="0.25">
      <c r="Q555" s="99"/>
      <c r="R555" s="99"/>
      <c r="S555" s="99"/>
      <c r="T555" s="100"/>
      <c r="V555" s="99"/>
      <c r="W555" s="99"/>
      <c r="Y555" s="47"/>
    </row>
    <row r="556" spans="17:25" ht="15.75" customHeight="1" x14ac:dyDescent="0.25">
      <c r="Q556" s="99"/>
      <c r="R556" s="99"/>
      <c r="S556" s="99"/>
      <c r="T556" s="100"/>
      <c r="V556" s="99"/>
      <c r="W556" s="99"/>
      <c r="Y556" s="47"/>
    </row>
    <row r="557" spans="17:25" ht="15.75" customHeight="1" x14ac:dyDescent="0.25">
      <c r="Q557" s="99"/>
      <c r="R557" s="99"/>
      <c r="S557" s="99"/>
      <c r="T557" s="100"/>
      <c r="V557" s="99"/>
      <c r="W557" s="99"/>
      <c r="Y557" s="47"/>
    </row>
    <row r="558" spans="17:25" ht="15.75" customHeight="1" x14ac:dyDescent="0.25">
      <c r="Q558" s="99"/>
      <c r="R558" s="99"/>
      <c r="S558" s="99"/>
      <c r="T558" s="100"/>
      <c r="V558" s="99"/>
      <c r="W558" s="99"/>
      <c r="Y558" s="47"/>
    </row>
    <row r="559" spans="17:25" ht="15.75" customHeight="1" x14ac:dyDescent="0.25">
      <c r="Q559" s="99"/>
      <c r="R559" s="99"/>
      <c r="S559" s="99"/>
      <c r="T559" s="100"/>
      <c r="V559" s="99"/>
      <c r="W559" s="99"/>
      <c r="Y559" s="47"/>
    </row>
    <row r="560" spans="17:25" ht="15.75" customHeight="1" x14ac:dyDescent="0.25">
      <c r="Q560" s="99"/>
      <c r="R560" s="99"/>
      <c r="S560" s="99"/>
      <c r="T560" s="100"/>
      <c r="V560" s="99"/>
      <c r="W560" s="99"/>
      <c r="Y560" s="47"/>
    </row>
    <row r="561" spans="17:25" ht="15.75" customHeight="1" x14ac:dyDescent="0.25">
      <c r="Q561" s="99"/>
      <c r="R561" s="99"/>
      <c r="S561" s="99"/>
      <c r="T561" s="100"/>
      <c r="V561" s="99"/>
      <c r="W561" s="99"/>
      <c r="Y561" s="47"/>
    </row>
    <row r="562" spans="17:25" ht="15.75" customHeight="1" x14ac:dyDescent="0.25">
      <c r="Q562" s="99"/>
      <c r="R562" s="99"/>
      <c r="S562" s="99"/>
      <c r="T562" s="100"/>
      <c r="V562" s="99"/>
      <c r="W562" s="99"/>
      <c r="Y562" s="47"/>
    </row>
    <row r="563" spans="17:25" ht="15.75" customHeight="1" x14ac:dyDescent="0.25">
      <c r="Q563" s="99"/>
      <c r="R563" s="99"/>
      <c r="S563" s="99"/>
      <c r="T563" s="100"/>
      <c r="V563" s="99"/>
      <c r="W563" s="99"/>
      <c r="Y563" s="47"/>
    </row>
    <row r="564" spans="17:25" ht="15.75" customHeight="1" x14ac:dyDescent="0.25">
      <c r="Q564" s="99"/>
      <c r="R564" s="99"/>
      <c r="S564" s="99"/>
      <c r="T564" s="100"/>
      <c r="V564" s="99"/>
      <c r="W564" s="99"/>
      <c r="Y564" s="47"/>
    </row>
    <row r="565" spans="17:25" ht="15.75" customHeight="1" x14ac:dyDescent="0.25">
      <c r="Q565" s="99"/>
      <c r="R565" s="99"/>
      <c r="S565" s="99"/>
      <c r="T565" s="100"/>
      <c r="V565" s="99"/>
      <c r="W565" s="99"/>
      <c r="Y565" s="47"/>
    </row>
    <row r="566" spans="17:25" ht="15.75" customHeight="1" x14ac:dyDescent="0.25">
      <c r="Q566" s="99"/>
      <c r="R566" s="99"/>
      <c r="S566" s="99"/>
      <c r="T566" s="100"/>
      <c r="V566" s="99"/>
      <c r="W566" s="99"/>
      <c r="Y566" s="47"/>
    </row>
    <row r="567" spans="17:25" ht="15.75" customHeight="1" x14ac:dyDescent="0.25">
      <c r="Q567" s="99"/>
      <c r="R567" s="99"/>
      <c r="S567" s="99"/>
      <c r="T567" s="100"/>
      <c r="V567" s="99"/>
      <c r="W567" s="99"/>
      <c r="Y567" s="47"/>
    </row>
    <row r="568" spans="17:25" ht="15.75" customHeight="1" x14ac:dyDescent="0.25">
      <c r="Q568" s="99"/>
      <c r="R568" s="99"/>
      <c r="S568" s="99"/>
      <c r="T568" s="100"/>
      <c r="V568" s="99"/>
      <c r="W568" s="99"/>
      <c r="Y568" s="47"/>
    </row>
    <row r="569" spans="17:25" ht="15.75" customHeight="1" x14ac:dyDescent="0.25">
      <c r="Q569" s="99"/>
      <c r="R569" s="99"/>
      <c r="S569" s="99"/>
      <c r="T569" s="100"/>
      <c r="V569" s="99"/>
      <c r="W569" s="99"/>
      <c r="Y569" s="47"/>
    </row>
    <row r="570" spans="17:25" ht="15.75" customHeight="1" x14ac:dyDescent="0.25">
      <c r="Q570" s="99"/>
      <c r="R570" s="99"/>
      <c r="S570" s="99"/>
      <c r="T570" s="100"/>
      <c r="V570" s="99"/>
      <c r="W570" s="99"/>
      <c r="Y570" s="47"/>
    </row>
    <row r="571" spans="17:25" ht="15.75" customHeight="1" x14ac:dyDescent="0.25">
      <c r="Q571" s="99"/>
      <c r="R571" s="99"/>
      <c r="S571" s="99"/>
      <c r="T571" s="100"/>
      <c r="V571" s="99"/>
      <c r="W571" s="99"/>
      <c r="Y571" s="47"/>
    </row>
    <row r="572" spans="17:25" ht="15.75" customHeight="1" x14ac:dyDescent="0.25">
      <c r="Q572" s="99"/>
      <c r="R572" s="99"/>
      <c r="S572" s="99"/>
      <c r="T572" s="100"/>
      <c r="V572" s="99"/>
      <c r="W572" s="99"/>
      <c r="Y572" s="47"/>
    </row>
    <row r="573" spans="17:25" ht="15.75" customHeight="1" x14ac:dyDescent="0.25">
      <c r="Q573" s="99"/>
      <c r="R573" s="99"/>
      <c r="S573" s="99"/>
      <c r="T573" s="100"/>
      <c r="V573" s="99"/>
      <c r="W573" s="99"/>
      <c r="Y573" s="47"/>
    </row>
    <row r="574" spans="17:25" ht="15.75" customHeight="1" x14ac:dyDescent="0.25">
      <c r="Q574" s="99"/>
      <c r="R574" s="99"/>
      <c r="S574" s="99"/>
      <c r="T574" s="100"/>
      <c r="V574" s="99"/>
      <c r="W574" s="99"/>
      <c r="Y574" s="47"/>
    </row>
    <row r="575" spans="17:25" ht="15.75" customHeight="1" x14ac:dyDescent="0.25">
      <c r="Q575" s="99"/>
      <c r="R575" s="99"/>
      <c r="S575" s="99"/>
      <c r="T575" s="100"/>
      <c r="V575" s="99"/>
      <c r="W575" s="99"/>
      <c r="Y575" s="47"/>
    </row>
    <row r="576" spans="17:25" ht="15.75" customHeight="1" x14ac:dyDescent="0.25">
      <c r="Q576" s="99"/>
      <c r="R576" s="99"/>
      <c r="S576" s="99"/>
      <c r="T576" s="100"/>
      <c r="V576" s="99"/>
      <c r="W576" s="99"/>
      <c r="Y576" s="47"/>
    </row>
    <row r="577" spans="17:25" ht="15.75" customHeight="1" x14ac:dyDescent="0.25">
      <c r="Q577" s="99"/>
      <c r="R577" s="99"/>
      <c r="S577" s="99"/>
      <c r="T577" s="100"/>
      <c r="V577" s="99"/>
      <c r="W577" s="99"/>
      <c r="Y577" s="47"/>
    </row>
    <row r="578" spans="17:25" ht="15.75" customHeight="1" x14ac:dyDescent="0.25">
      <c r="Q578" s="99"/>
      <c r="R578" s="99"/>
      <c r="S578" s="99"/>
      <c r="T578" s="100"/>
      <c r="V578" s="99"/>
      <c r="W578" s="99"/>
      <c r="Y578" s="47"/>
    </row>
    <row r="579" spans="17:25" ht="15.75" customHeight="1" x14ac:dyDescent="0.25">
      <c r="Q579" s="99"/>
      <c r="R579" s="99"/>
      <c r="S579" s="99"/>
      <c r="T579" s="100"/>
      <c r="V579" s="99"/>
      <c r="W579" s="99"/>
      <c r="Y579" s="47"/>
    </row>
    <row r="580" spans="17:25" ht="15.75" customHeight="1" x14ac:dyDescent="0.25">
      <c r="Q580" s="99"/>
      <c r="R580" s="99"/>
      <c r="S580" s="99"/>
      <c r="T580" s="100"/>
      <c r="V580" s="99"/>
      <c r="W580" s="99"/>
      <c r="Y580" s="47"/>
    </row>
    <row r="581" spans="17:25" ht="15.75" customHeight="1" x14ac:dyDescent="0.25">
      <c r="Q581" s="99"/>
      <c r="R581" s="99"/>
      <c r="S581" s="99"/>
      <c r="T581" s="100"/>
      <c r="V581" s="99"/>
      <c r="W581" s="99"/>
      <c r="Y581" s="47"/>
    </row>
    <row r="582" spans="17:25" ht="15.75" customHeight="1" x14ac:dyDescent="0.25">
      <c r="Q582" s="99"/>
      <c r="R582" s="99"/>
      <c r="S582" s="99"/>
      <c r="T582" s="100"/>
      <c r="V582" s="99"/>
      <c r="W582" s="99"/>
      <c r="Y582" s="47"/>
    </row>
    <row r="583" spans="17:25" ht="15.75" customHeight="1" x14ac:dyDescent="0.25">
      <c r="Q583" s="99"/>
      <c r="R583" s="99"/>
      <c r="S583" s="99"/>
      <c r="T583" s="100"/>
      <c r="V583" s="99"/>
      <c r="W583" s="99"/>
      <c r="Y583" s="47"/>
    </row>
    <row r="584" spans="17:25" ht="15.75" customHeight="1" x14ac:dyDescent="0.25">
      <c r="Q584" s="99"/>
      <c r="R584" s="99"/>
      <c r="S584" s="99"/>
      <c r="T584" s="100"/>
      <c r="V584" s="99"/>
      <c r="W584" s="99"/>
      <c r="Y584" s="47"/>
    </row>
    <row r="585" spans="17:25" ht="15.75" customHeight="1" x14ac:dyDescent="0.25">
      <c r="Q585" s="99"/>
      <c r="R585" s="99"/>
      <c r="S585" s="99"/>
      <c r="T585" s="100"/>
      <c r="V585" s="99"/>
      <c r="W585" s="99"/>
      <c r="Y585" s="47"/>
    </row>
    <row r="586" spans="17:25" ht="15.75" customHeight="1" x14ac:dyDescent="0.25">
      <c r="Q586" s="99"/>
      <c r="R586" s="99"/>
      <c r="S586" s="99"/>
      <c r="T586" s="100"/>
      <c r="V586" s="99"/>
      <c r="W586" s="99"/>
      <c r="Y586" s="47"/>
    </row>
    <row r="587" spans="17:25" ht="15.75" customHeight="1" x14ac:dyDescent="0.25">
      <c r="Q587" s="99"/>
      <c r="R587" s="99"/>
      <c r="S587" s="99"/>
      <c r="T587" s="100"/>
      <c r="V587" s="99"/>
      <c r="W587" s="99"/>
      <c r="Y587" s="47"/>
    </row>
    <row r="588" spans="17:25" ht="15.75" customHeight="1" x14ac:dyDescent="0.25">
      <c r="Q588" s="99"/>
      <c r="R588" s="99"/>
      <c r="S588" s="99"/>
      <c r="T588" s="100"/>
      <c r="V588" s="99"/>
      <c r="W588" s="99"/>
      <c r="Y588" s="47"/>
    </row>
    <row r="589" spans="17:25" ht="15.75" customHeight="1" x14ac:dyDescent="0.25">
      <c r="Q589" s="99"/>
      <c r="R589" s="99"/>
      <c r="S589" s="99"/>
      <c r="T589" s="100"/>
      <c r="V589" s="99"/>
      <c r="W589" s="99"/>
      <c r="Y589" s="47"/>
    </row>
    <row r="590" spans="17:25" ht="15.75" customHeight="1" x14ac:dyDescent="0.25">
      <c r="Q590" s="99"/>
      <c r="R590" s="99"/>
      <c r="S590" s="99"/>
      <c r="T590" s="100"/>
      <c r="V590" s="99"/>
      <c r="W590" s="99"/>
      <c r="Y590" s="47"/>
    </row>
    <row r="591" spans="17:25" ht="15.75" customHeight="1" x14ac:dyDescent="0.25">
      <c r="Q591" s="99"/>
      <c r="R591" s="99"/>
      <c r="S591" s="99"/>
      <c r="T591" s="100"/>
      <c r="V591" s="99"/>
      <c r="W591" s="99"/>
      <c r="Y591" s="47"/>
    </row>
    <row r="592" spans="17:25" ht="15.75" customHeight="1" x14ac:dyDescent="0.25">
      <c r="Q592" s="99"/>
      <c r="R592" s="99"/>
      <c r="S592" s="99"/>
      <c r="T592" s="100"/>
      <c r="V592" s="99"/>
      <c r="W592" s="99"/>
      <c r="Y592" s="47"/>
    </row>
    <row r="593" spans="17:25" ht="15.75" customHeight="1" x14ac:dyDescent="0.25">
      <c r="Q593" s="99"/>
      <c r="R593" s="99"/>
      <c r="S593" s="99"/>
      <c r="T593" s="100"/>
      <c r="V593" s="99"/>
      <c r="W593" s="99"/>
      <c r="Y593" s="47"/>
    </row>
    <row r="594" spans="17:25" ht="15.75" customHeight="1" x14ac:dyDescent="0.25">
      <c r="Q594" s="99"/>
      <c r="R594" s="99"/>
      <c r="S594" s="99"/>
      <c r="T594" s="100"/>
      <c r="V594" s="99"/>
      <c r="W594" s="99"/>
      <c r="Y594" s="47"/>
    </row>
    <row r="595" spans="17:25" ht="15.75" customHeight="1" x14ac:dyDescent="0.25">
      <c r="Q595" s="99"/>
      <c r="R595" s="99"/>
      <c r="S595" s="99"/>
      <c r="T595" s="100"/>
      <c r="V595" s="99"/>
      <c r="W595" s="99"/>
      <c r="Y595" s="47"/>
    </row>
    <row r="596" spans="17:25" ht="15.75" customHeight="1" x14ac:dyDescent="0.25">
      <c r="Q596" s="99"/>
      <c r="R596" s="99"/>
      <c r="S596" s="99"/>
      <c r="T596" s="100"/>
      <c r="V596" s="99"/>
      <c r="W596" s="99"/>
      <c r="Y596" s="47"/>
    </row>
    <row r="597" spans="17:25" ht="15.75" customHeight="1" x14ac:dyDescent="0.25">
      <c r="Q597" s="99"/>
      <c r="R597" s="99"/>
      <c r="S597" s="99"/>
      <c r="T597" s="100"/>
      <c r="V597" s="99"/>
      <c r="W597" s="99"/>
      <c r="Y597" s="47"/>
    </row>
    <row r="598" spans="17:25" ht="15.75" customHeight="1" x14ac:dyDescent="0.25">
      <c r="Q598" s="99"/>
      <c r="R598" s="99"/>
      <c r="S598" s="99"/>
      <c r="T598" s="100"/>
      <c r="V598" s="99"/>
      <c r="W598" s="99"/>
      <c r="Y598" s="47"/>
    </row>
    <row r="599" spans="17:25" ht="15.75" customHeight="1" x14ac:dyDescent="0.25">
      <c r="Q599" s="99"/>
      <c r="R599" s="99"/>
      <c r="S599" s="99"/>
      <c r="T599" s="100"/>
      <c r="V599" s="99"/>
      <c r="W599" s="99"/>
      <c r="Y599" s="47"/>
    </row>
    <row r="600" spans="17:25" ht="15.75" customHeight="1" x14ac:dyDescent="0.25">
      <c r="Q600" s="99"/>
      <c r="R600" s="99"/>
      <c r="S600" s="99"/>
      <c r="T600" s="100"/>
      <c r="V600" s="99"/>
      <c r="W600" s="99"/>
      <c r="Y600" s="47"/>
    </row>
    <row r="601" spans="17:25" ht="15.75" customHeight="1" x14ac:dyDescent="0.25">
      <c r="Q601" s="99"/>
      <c r="R601" s="99"/>
      <c r="S601" s="99"/>
      <c r="T601" s="100"/>
      <c r="V601" s="99"/>
      <c r="W601" s="99"/>
      <c r="Y601" s="47"/>
    </row>
    <row r="602" spans="17:25" ht="15.75" customHeight="1" x14ac:dyDescent="0.25">
      <c r="Q602" s="99"/>
      <c r="R602" s="99"/>
      <c r="S602" s="99"/>
      <c r="T602" s="100"/>
      <c r="V602" s="99"/>
      <c r="W602" s="99"/>
      <c r="Y602" s="47"/>
    </row>
    <row r="603" spans="17:25" ht="15.75" customHeight="1" x14ac:dyDescent="0.25">
      <c r="Q603" s="99"/>
      <c r="R603" s="99"/>
      <c r="S603" s="99"/>
      <c r="T603" s="100"/>
      <c r="V603" s="99"/>
      <c r="W603" s="99"/>
      <c r="Y603" s="47"/>
    </row>
    <row r="604" spans="17:25" ht="15.75" customHeight="1" x14ac:dyDescent="0.25">
      <c r="Q604" s="99"/>
      <c r="R604" s="99"/>
      <c r="S604" s="99"/>
      <c r="T604" s="100"/>
      <c r="V604" s="99"/>
      <c r="W604" s="99"/>
      <c r="Y604" s="47"/>
    </row>
    <row r="605" spans="17:25" ht="15.75" customHeight="1" x14ac:dyDescent="0.25">
      <c r="Q605" s="99"/>
      <c r="R605" s="99"/>
      <c r="S605" s="99"/>
      <c r="T605" s="100"/>
      <c r="V605" s="99"/>
      <c r="W605" s="99"/>
      <c r="Y605" s="47"/>
    </row>
    <row r="606" spans="17:25" ht="15.75" customHeight="1" x14ac:dyDescent="0.25">
      <c r="Q606" s="99"/>
      <c r="R606" s="99"/>
      <c r="S606" s="99"/>
      <c r="T606" s="100"/>
      <c r="V606" s="99"/>
      <c r="W606" s="99"/>
      <c r="Y606" s="47"/>
    </row>
    <row r="607" spans="17:25" ht="15.75" customHeight="1" x14ac:dyDescent="0.25">
      <c r="Q607" s="99"/>
      <c r="R607" s="99"/>
      <c r="S607" s="99"/>
      <c r="T607" s="100"/>
      <c r="V607" s="99"/>
      <c r="W607" s="99"/>
      <c r="Y607" s="47"/>
    </row>
    <row r="608" spans="17:25" ht="15.75" customHeight="1" x14ac:dyDescent="0.25">
      <c r="Q608" s="99"/>
      <c r="R608" s="99"/>
      <c r="S608" s="99"/>
      <c r="T608" s="100"/>
      <c r="V608" s="99"/>
      <c r="W608" s="99"/>
      <c r="Y608" s="47"/>
    </row>
    <row r="609" spans="17:25" ht="15.75" customHeight="1" x14ac:dyDescent="0.25">
      <c r="Q609" s="99"/>
      <c r="R609" s="99"/>
      <c r="S609" s="99"/>
      <c r="T609" s="100"/>
      <c r="V609" s="99"/>
      <c r="W609" s="99"/>
      <c r="Y609" s="47"/>
    </row>
    <row r="610" spans="17:25" ht="15.75" customHeight="1" x14ac:dyDescent="0.25">
      <c r="Q610" s="99"/>
      <c r="R610" s="99"/>
      <c r="S610" s="99"/>
      <c r="T610" s="100"/>
      <c r="V610" s="99"/>
      <c r="W610" s="99"/>
      <c r="Y610" s="47"/>
    </row>
    <row r="611" spans="17:25" ht="15.75" customHeight="1" x14ac:dyDescent="0.25">
      <c r="Q611" s="99"/>
      <c r="R611" s="99"/>
      <c r="S611" s="99"/>
      <c r="T611" s="100"/>
      <c r="V611" s="99"/>
      <c r="W611" s="99"/>
      <c r="Y611" s="47"/>
    </row>
    <row r="612" spans="17:25" ht="15.75" customHeight="1" x14ac:dyDescent="0.25">
      <c r="Q612" s="99"/>
      <c r="R612" s="99"/>
      <c r="S612" s="99"/>
      <c r="T612" s="100"/>
      <c r="V612" s="99"/>
      <c r="W612" s="99"/>
      <c r="Y612" s="47"/>
    </row>
    <row r="613" spans="17:25" ht="15.75" customHeight="1" x14ac:dyDescent="0.25">
      <c r="Q613" s="99"/>
      <c r="R613" s="99"/>
      <c r="S613" s="99"/>
      <c r="T613" s="100"/>
      <c r="V613" s="99"/>
      <c r="W613" s="99"/>
      <c r="Y613" s="47"/>
    </row>
    <row r="614" spans="17:25" ht="15.75" customHeight="1" x14ac:dyDescent="0.25">
      <c r="Q614" s="99"/>
      <c r="R614" s="99"/>
      <c r="S614" s="99"/>
      <c r="T614" s="100"/>
      <c r="V614" s="99"/>
      <c r="W614" s="99"/>
      <c r="Y614" s="47"/>
    </row>
    <row r="615" spans="17:25" ht="15.75" customHeight="1" x14ac:dyDescent="0.25">
      <c r="Q615" s="99"/>
      <c r="R615" s="99"/>
      <c r="S615" s="99"/>
      <c r="T615" s="100"/>
      <c r="V615" s="99"/>
      <c r="W615" s="99"/>
      <c r="Y615" s="47"/>
    </row>
    <row r="616" spans="17:25" ht="15.75" customHeight="1" x14ac:dyDescent="0.25">
      <c r="Q616" s="99"/>
      <c r="R616" s="99"/>
      <c r="S616" s="99"/>
      <c r="T616" s="100"/>
      <c r="V616" s="99"/>
      <c r="W616" s="99"/>
      <c r="Y616" s="47"/>
    </row>
    <row r="617" spans="17:25" ht="15.75" customHeight="1" x14ac:dyDescent="0.25">
      <c r="Q617" s="99"/>
      <c r="R617" s="99"/>
      <c r="S617" s="99"/>
      <c r="T617" s="100"/>
      <c r="V617" s="99"/>
      <c r="W617" s="99"/>
      <c r="Y617" s="47"/>
    </row>
    <row r="618" spans="17:25" ht="15.75" customHeight="1" x14ac:dyDescent="0.25">
      <c r="Q618" s="99"/>
      <c r="R618" s="99"/>
      <c r="S618" s="99"/>
      <c r="T618" s="100"/>
      <c r="V618" s="99"/>
      <c r="W618" s="99"/>
      <c r="Y618" s="47"/>
    </row>
    <row r="619" spans="17:25" ht="15.75" customHeight="1" x14ac:dyDescent="0.25">
      <c r="Q619" s="99"/>
      <c r="R619" s="99"/>
      <c r="S619" s="99"/>
      <c r="T619" s="100"/>
      <c r="V619" s="99"/>
      <c r="W619" s="99"/>
      <c r="Y619" s="47"/>
    </row>
    <row r="620" spans="17:25" ht="15.75" customHeight="1" x14ac:dyDescent="0.25">
      <c r="Q620" s="99"/>
      <c r="R620" s="99"/>
      <c r="S620" s="99"/>
      <c r="T620" s="100"/>
      <c r="V620" s="99"/>
      <c r="W620" s="99"/>
      <c r="Y620" s="47"/>
    </row>
    <row r="621" spans="17:25" ht="15.75" customHeight="1" x14ac:dyDescent="0.25">
      <c r="Q621" s="99"/>
      <c r="R621" s="99"/>
      <c r="S621" s="99"/>
      <c r="T621" s="100"/>
      <c r="V621" s="99"/>
      <c r="W621" s="99"/>
      <c r="Y621" s="47"/>
    </row>
    <row r="622" spans="17:25" ht="15.75" customHeight="1" x14ac:dyDescent="0.25">
      <c r="Q622" s="99"/>
      <c r="R622" s="99"/>
      <c r="S622" s="99"/>
      <c r="T622" s="100"/>
      <c r="V622" s="99"/>
      <c r="W622" s="99"/>
      <c r="Y622" s="47"/>
    </row>
    <row r="623" spans="17:25" ht="15.75" customHeight="1" x14ac:dyDescent="0.25">
      <c r="Q623" s="99"/>
      <c r="R623" s="99"/>
      <c r="S623" s="99"/>
      <c r="T623" s="100"/>
      <c r="V623" s="99"/>
      <c r="W623" s="99"/>
      <c r="Y623" s="47"/>
    </row>
    <row r="624" spans="17:25" ht="15.75" customHeight="1" x14ac:dyDescent="0.25">
      <c r="Q624" s="99"/>
      <c r="R624" s="99"/>
      <c r="S624" s="99"/>
      <c r="T624" s="100"/>
      <c r="V624" s="99"/>
      <c r="W624" s="99"/>
      <c r="Y624" s="47"/>
    </row>
    <row r="625" spans="17:25" ht="15.75" customHeight="1" x14ac:dyDescent="0.25">
      <c r="Q625" s="99"/>
      <c r="R625" s="99"/>
      <c r="S625" s="99"/>
      <c r="T625" s="100"/>
      <c r="V625" s="99"/>
      <c r="W625" s="99"/>
      <c r="Y625" s="47"/>
    </row>
    <row r="626" spans="17:25" ht="15.75" customHeight="1" x14ac:dyDescent="0.25">
      <c r="Q626" s="99"/>
      <c r="R626" s="99"/>
      <c r="S626" s="99"/>
      <c r="T626" s="100"/>
      <c r="V626" s="99"/>
      <c r="W626" s="99"/>
      <c r="Y626" s="47"/>
    </row>
    <row r="627" spans="17:25" ht="15.75" customHeight="1" x14ac:dyDescent="0.25">
      <c r="Q627" s="99"/>
      <c r="R627" s="99"/>
      <c r="S627" s="99"/>
      <c r="T627" s="100"/>
      <c r="V627" s="99"/>
      <c r="W627" s="99"/>
      <c r="Y627" s="47"/>
    </row>
    <row r="628" spans="17:25" ht="15.75" customHeight="1" x14ac:dyDescent="0.25">
      <c r="Q628" s="99"/>
      <c r="R628" s="99"/>
      <c r="S628" s="99"/>
      <c r="T628" s="100"/>
      <c r="V628" s="99"/>
      <c r="W628" s="99"/>
      <c r="Y628" s="47"/>
    </row>
    <row r="629" spans="17:25" ht="15.75" customHeight="1" x14ac:dyDescent="0.25">
      <c r="Q629" s="99"/>
      <c r="R629" s="99"/>
      <c r="S629" s="99"/>
      <c r="T629" s="100"/>
      <c r="V629" s="99"/>
      <c r="W629" s="99"/>
      <c r="Y629" s="47"/>
    </row>
    <row r="630" spans="17:25" ht="15.75" customHeight="1" x14ac:dyDescent="0.25">
      <c r="Q630" s="99"/>
      <c r="R630" s="99"/>
      <c r="S630" s="99"/>
      <c r="T630" s="100"/>
      <c r="V630" s="99"/>
      <c r="W630" s="99"/>
      <c r="Y630" s="47"/>
    </row>
    <row r="631" spans="17:25" ht="15.75" customHeight="1" x14ac:dyDescent="0.25">
      <c r="Q631" s="99"/>
      <c r="R631" s="99"/>
      <c r="S631" s="99"/>
      <c r="T631" s="100"/>
      <c r="V631" s="99"/>
      <c r="W631" s="99"/>
      <c r="Y631" s="47"/>
    </row>
    <row r="632" spans="17:25" ht="15.75" customHeight="1" x14ac:dyDescent="0.25">
      <c r="Q632" s="99"/>
      <c r="R632" s="99"/>
      <c r="S632" s="99"/>
      <c r="T632" s="100"/>
      <c r="V632" s="99"/>
      <c r="W632" s="99"/>
      <c r="Y632" s="47"/>
    </row>
    <row r="633" spans="17:25" ht="15.75" customHeight="1" x14ac:dyDescent="0.25">
      <c r="Q633" s="99"/>
      <c r="R633" s="99"/>
      <c r="S633" s="99"/>
      <c r="T633" s="100"/>
      <c r="V633" s="99"/>
      <c r="W633" s="99"/>
      <c r="Y633" s="47"/>
    </row>
    <row r="634" spans="17:25" ht="15.75" customHeight="1" x14ac:dyDescent="0.25">
      <c r="Q634" s="99"/>
      <c r="R634" s="99"/>
      <c r="S634" s="99"/>
      <c r="T634" s="100"/>
      <c r="V634" s="99"/>
      <c r="W634" s="99"/>
      <c r="Y634" s="47"/>
    </row>
    <row r="635" spans="17:25" ht="15.75" customHeight="1" x14ac:dyDescent="0.25">
      <c r="Q635" s="99"/>
      <c r="R635" s="99"/>
      <c r="S635" s="99"/>
      <c r="T635" s="100"/>
      <c r="V635" s="99"/>
      <c r="W635" s="99"/>
      <c r="Y635" s="47"/>
    </row>
    <row r="636" spans="17:25" ht="15.75" customHeight="1" x14ac:dyDescent="0.25">
      <c r="Q636" s="99"/>
      <c r="R636" s="99"/>
      <c r="S636" s="99"/>
      <c r="T636" s="100"/>
      <c r="V636" s="99"/>
      <c r="W636" s="99"/>
      <c r="Y636" s="47"/>
    </row>
    <row r="637" spans="17:25" ht="15.75" customHeight="1" x14ac:dyDescent="0.25">
      <c r="Q637" s="99"/>
      <c r="R637" s="99"/>
      <c r="S637" s="99"/>
      <c r="T637" s="100"/>
      <c r="V637" s="99"/>
      <c r="W637" s="99"/>
      <c r="Y637" s="47"/>
    </row>
    <row r="638" spans="17:25" ht="15.75" customHeight="1" x14ac:dyDescent="0.25">
      <c r="Q638" s="99"/>
      <c r="R638" s="99"/>
      <c r="S638" s="99"/>
      <c r="T638" s="100"/>
      <c r="V638" s="99"/>
      <c r="W638" s="99"/>
      <c r="Y638" s="47"/>
    </row>
    <row r="639" spans="17:25" ht="15.75" customHeight="1" x14ac:dyDescent="0.25">
      <c r="Q639" s="99"/>
      <c r="R639" s="99"/>
      <c r="S639" s="99"/>
      <c r="T639" s="100"/>
      <c r="V639" s="99"/>
      <c r="W639" s="99"/>
      <c r="Y639" s="47"/>
    </row>
    <row r="640" spans="17:25" ht="15.75" customHeight="1" x14ac:dyDescent="0.25">
      <c r="Q640" s="99"/>
      <c r="R640" s="99"/>
      <c r="S640" s="99"/>
      <c r="T640" s="100"/>
      <c r="V640" s="99"/>
      <c r="W640" s="99"/>
      <c r="Y640" s="47"/>
    </row>
    <row r="641" spans="17:25" ht="15.75" customHeight="1" x14ac:dyDescent="0.25">
      <c r="Q641" s="99"/>
      <c r="R641" s="99"/>
      <c r="S641" s="99"/>
      <c r="T641" s="100"/>
      <c r="V641" s="99"/>
      <c r="W641" s="99"/>
      <c r="Y641" s="47"/>
    </row>
    <row r="642" spans="17:25" ht="15.75" customHeight="1" x14ac:dyDescent="0.25">
      <c r="Q642" s="99"/>
      <c r="R642" s="99"/>
      <c r="S642" s="99"/>
      <c r="T642" s="100"/>
      <c r="V642" s="99"/>
      <c r="W642" s="99"/>
      <c r="Y642" s="47"/>
    </row>
    <row r="643" spans="17:25" ht="15.75" customHeight="1" x14ac:dyDescent="0.25">
      <c r="Q643" s="99"/>
      <c r="R643" s="99"/>
      <c r="S643" s="99"/>
      <c r="T643" s="100"/>
      <c r="V643" s="99"/>
      <c r="W643" s="99"/>
      <c r="Y643" s="47"/>
    </row>
    <row r="644" spans="17:25" ht="15.75" customHeight="1" x14ac:dyDescent="0.25">
      <c r="Q644" s="99"/>
      <c r="R644" s="99"/>
      <c r="S644" s="99"/>
      <c r="T644" s="100"/>
      <c r="V644" s="99"/>
      <c r="W644" s="99"/>
      <c r="Y644" s="47"/>
    </row>
    <row r="645" spans="17:25" ht="15.75" customHeight="1" x14ac:dyDescent="0.25">
      <c r="Q645" s="99"/>
      <c r="R645" s="99"/>
      <c r="S645" s="99"/>
      <c r="T645" s="100"/>
      <c r="V645" s="99"/>
      <c r="W645" s="99"/>
      <c r="Y645" s="47"/>
    </row>
    <row r="646" spans="17:25" ht="15.75" customHeight="1" x14ac:dyDescent="0.25">
      <c r="Q646" s="99"/>
      <c r="R646" s="99"/>
      <c r="S646" s="99"/>
      <c r="T646" s="100"/>
      <c r="V646" s="99"/>
      <c r="W646" s="99"/>
      <c r="Y646" s="47"/>
    </row>
    <row r="647" spans="17:25" ht="15.75" customHeight="1" x14ac:dyDescent="0.25">
      <c r="Q647" s="99"/>
      <c r="R647" s="99"/>
      <c r="S647" s="99"/>
      <c r="T647" s="100"/>
      <c r="V647" s="99"/>
      <c r="W647" s="99"/>
      <c r="Y647" s="47"/>
    </row>
    <row r="648" spans="17:25" ht="15.75" customHeight="1" x14ac:dyDescent="0.25">
      <c r="Q648" s="99"/>
      <c r="R648" s="99"/>
      <c r="S648" s="99"/>
      <c r="T648" s="100"/>
      <c r="V648" s="99"/>
      <c r="W648" s="99"/>
      <c r="Y648" s="47"/>
    </row>
    <row r="649" spans="17:25" ht="15.75" customHeight="1" x14ac:dyDescent="0.25">
      <c r="Q649" s="99"/>
      <c r="R649" s="99"/>
      <c r="S649" s="99"/>
      <c r="T649" s="100"/>
      <c r="V649" s="99"/>
      <c r="W649" s="99"/>
      <c r="Y649" s="47"/>
    </row>
    <row r="650" spans="17:25" ht="15.75" customHeight="1" x14ac:dyDescent="0.25">
      <c r="Q650" s="99"/>
      <c r="R650" s="99"/>
      <c r="S650" s="99"/>
      <c r="T650" s="100"/>
      <c r="V650" s="99"/>
      <c r="W650" s="99"/>
      <c r="Y650" s="47"/>
    </row>
    <row r="651" spans="17:25" ht="15.75" customHeight="1" x14ac:dyDescent="0.25">
      <c r="Q651" s="99"/>
      <c r="R651" s="99"/>
      <c r="S651" s="99"/>
      <c r="T651" s="100"/>
      <c r="V651" s="99"/>
      <c r="W651" s="99"/>
      <c r="Y651" s="47"/>
    </row>
    <row r="652" spans="17:25" ht="15.75" customHeight="1" x14ac:dyDescent="0.25">
      <c r="Q652" s="99"/>
      <c r="R652" s="99"/>
      <c r="S652" s="99"/>
      <c r="T652" s="100"/>
      <c r="V652" s="99"/>
      <c r="W652" s="99"/>
      <c r="Y652" s="47"/>
    </row>
    <row r="653" spans="17:25" ht="15.75" customHeight="1" x14ac:dyDescent="0.25">
      <c r="Q653" s="99"/>
      <c r="R653" s="99"/>
      <c r="S653" s="99"/>
      <c r="T653" s="100"/>
      <c r="V653" s="99"/>
      <c r="W653" s="99"/>
      <c r="Y653" s="47"/>
    </row>
    <row r="654" spans="17:25" ht="15.75" customHeight="1" x14ac:dyDescent="0.25">
      <c r="Q654" s="99"/>
      <c r="R654" s="99"/>
      <c r="S654" s="99"/>
      <c r="T654" s="100"/>
      <c r="V654" s="99"/>
      <c r="W654" s="99"/>
      <c r="Y654" s="47"/>
    </row>
    <row r="655" spans="17:25" ht="15.75" customHeight="1" x14ac:dyDescent="0.25">
      <c r="Q655" s="99"/>
      <c r="R655" s="99"/>
      <c r="S655" s="99"/>
      <c r="T655" s="100"/>
      <c r="V655" s="99"/>
      <c r="W655" s="99"/>
      <c r="Y655" s="47"/>
    </row>
    <row r="656" spans="17:25" ht="15.75" customHeight="1" x14ac:dyDescent="0.25">
      <c r="Q656" s="99"/>
      <c r="R656" s="99"/>
      <c r="S656" s="99"/>
      <c r="T656" s="100"/>
      <c r="V656" s="99"/>
      <c r="W656" s="99"/>
      <c r="Y656" s="47"/>
    </row>
    <row r="657" spans="17:25" ht="15.75" customHeight="1" x14ac:dyDescent="0.25">
      <c r="Q657" s="99"/>
      <c r="R657" s="99"/>
      <c r="S657" s="99"/>
      <c r="T657" s="100"/>
      <c r="V657" s="99"/>
      <c r="W657" s="99"/>
      <c r="Y657" s="47"/>
    </row>
    <row r="658" spans="17:25" ht="15.75" customHeight="1" x14ac:dyDescent="0.25">
      <c r="Q658" s="99"/>
      <c r="R658" s="99"/>
      <c r="S658" s="99"/>
      <c r="T658" s="100"/>
      <c r="V658" s="99"/>
      <c r="W658" s="99"/>
      <c r="Y658" s="47"/>
    </row>
    <row r="659" spans="17:25" ht="15.75" customHeight="1" x14ac:dyDescent="0.25">
      <c r="Q659" s="99"/>
      <c r="R659" s="99"/>
      <c r="S659" s="99"/>
      <c r="T659" s="100"/>
      <c r="V659" s="99"/>
      <c r="W659" s="99"/>
      <c r="Y659" s="47"/>
    </row>
    <row r="660" spans="17:25" ht="15.75" customHeight="1" x14ac:dyDescent="0.25">
      <c r="Q660" s="99"/>
      <c r="R660" s="99"/>
      <c r="S660" s="99"/>
      <c r="T660" s="100"/>
      <c r="V660" s="99"/>
      <c r="W660" s="99"/>
      <c r="Y660" s="47"/>
    </row>
    <row r="661" spans="17:25" ht="15.75" customHeight="1" x14ac:dyDescent="0.25">
      <c r="Q661" s="99"/>
      <c r="R661" s="99"/>
      <c r="S661" s="99"/>
      <c r="T661" s="100"/>
      <c r="V661" s="99"/>
      <c r="W661" s="99"/>
      <c r="Y661" s="47"/>
    </row>
    <row r="662" spans="17:25" ht="15.75" customHeight="1" x14ac:dyDescent="0.25">
      <c r="Q662" s="99"/>
      <c r="R662" s="99"/>
      <c r="S662" s="99"/>
      <c r="T662" s="100"/>
      <c r="V662" s="99"/>
      <c r="W662" s="99"/>
      <c r="Y662" s="47"/>
    </row>
    <row r="663" spans="17:25" ht="15.75" customHeight="1" x14ac:dyDescent="0.25">
      <c r="Q663" s="99"/>
      <c r="R663" s="99"/>
      <c r="S663" s="99"/>
      <c r="T663" s="100"/>
      <c r="V663" s="99"/>
      <c r="W663" s="99"/>
      <c r="Y663" s="47"/>
    </row>
    <row r="664" spans="17:25" ht="15.75" customHeight="1" x14ac:dyDescent="0.25">
      <c r="Q664" s="99"/>
      <c r="R664" s="99"/>
      <c r="S664" s="99"/>
      <c r="T664" s="100"/>
      <c r="V664" s="99"/>
      <c r="W664" s="99"/>
      <c r="Y664" s="47"/>
    </row>
    <row r="665" spans="17:25" ht="15.75" customHeight="1" x14ac:dyDescent="0.25">
      <c r="Q665" s="99"/>
      <c r="R665" s="99"/>
      <c r="S665" s="99"/>
      <c r="T665" s="100"/>
      <c r="V665" s="99"/>
      <c r="W665" s="99"/>
      <c r="Y665" s="47"/>
    </row>
    <row r="666" spans="17:25" ht="15.75" customHeight="1" x14ac:dyDescent="0.25">
      <c r="Q666" s="99"/>
      <c r="R666" s="99"/>
      <c r="S666" s="99"/>
      <c r="T666" s="100"/>
      <c r="V666" s="99"/>
      <c r="W666" s="99"/>
      <c r="Y666" s="47"/>
    </row>
    <row r="667" spans="17:25" ht="15.75" customHeight="1" x14ac:dyDescent="0.25">
      <c r="Q667" s="99"/>
      <c r="R667" s="99"/>
      <c r="S667" s="99"/>
      <c r="T667" s="100"/>
      <c r="V667" s="99"/>
      <c r="W667" s="99"/>
      <c r="Y667" s="47"/>
    </row>
    <row r="668" spans="17:25" ht="15.75" customHeight="1" x14ac:dyDescent="0.25">
      <c r="Q668" s="99"/>
      <c r="R668" s="99"/>
      <c r="S668" s="99"/>
      <c r="T668" s="100"/>
      <c r="V668" s="99"/>
      <c r="W668" s="99"/>
      <c r="Y668" s="47"/>
    </row>
    <row r="669" spans="17:25" ht="15.75" customHeight="1" x14ac:dyDescent="0.25">
      <c r="Q669" s="99"/>
      <c r="R669" s="99"/>
      <c r="S669" s="99"/>
      <c r="T669" s="100"/>
      <c r="V669" s="99"/>
      <c r="W669" s="99"/>
      <c r="Y669" s="47"/>
    </row>
    <row r="670" spans="17:25" ht="15.75" customHeight="1" x14ac:dyDescent="0.25">
      <c r="Q670" s="99"/>
      <c r="R670" s="99"/>
      <c r="S670" s="99"/>
      <c r="T670" s="100"/>
      <c r="V670" s="99"/>
      <c r="W670" s="99"/>
      <c r="Y670" s="47"/>
    </row>
    <row r="671" spans="17:25" ht="15.75" customHeight="1" x14ac:dyDescent="0.25">
      <c r="Q671" s="99"/>
      <c r="R671" s="99"/>
      <c r="S671" s="99"/>
      <c r="T671" s="100"/>
      <c r="V671" s="99"/>
      <c r="W671" s="99"/>
      <c r="Y671" s="47"/>
    </row>
    <row r="672" spans="17:25" ht="15.75" customHeight="1" x14ac:dyDescent="0.25">
      <c r="Q672" s="99"/>
      <c r="R672" s="99"/>
      <c r="S672" s="99"/>
      <c r="T672" s="100"/>
      <c r="V672" s="99"/>
      <c r="W672" s="99"/>
      <c r="Y672" s="47"/>
    </row>
    <row r="673" spans="17:25" ht="15.75" customHeight="1" x14ac:dyDescent="0.25">
      <c r="Q673" s="99"/>
      <c r="R673" s="99"/>
      <c r="S673" s="99"/>
      <c r="T673" s="100"/>
      <c r="V673" s="99"/>
      <c r="W673" s="99"/>
      <c r="Y673" s="47"/>
    </row>
    <row r="674" spans="17:25" ht="15.75" customHeight="1" x14ac:dyDescent="0.25">
      <c r="Q674" s="99"/>
      <c r="R674" s="99"/>
      <c r="S674" s="99"/>
      <c r="T674" s="100"/>
      <c r="V674" s="99"/>
      <c r="W674" s="99"/>
      <c r="Y674" s="47"/>
    </row>
    <row r="675" spans="17:25" ht="15.75" customHeight="1" x14ac:dyDescent="0.25">
      <c r="Q675" s="99"/>
      <c r="R675" s="99"/>
      <c r="S675" s="99"/>
      <c r="T675" s="100"/>
      <c r="V675" s="99"/>
      <c r="W675" s="99"/>
      <c r="Y675" s="47"/>
    </row>
    <row r="676" spans="17:25" ht="15.75" customHeight="1" x14ac:dyDescent="0.25">
      <c r="Q676" s="99"/>
      <c r="R676" s="99"/>
      <c r="S676" s="99"/>
      <c r="T676" s="100"/>
      <c r="V676" s="99"/>
      <c r="W676" s="99"/>
      <c r="Y676" s="47"/>
    </row>
    <row r="677" spans="17:25" ht="15.75" customHeight="1" x14ac:dyDescent="0.25">
      <c r="Q677" s="99"/>
      <c r="R677" s="99"/>
      <c r="S677" s="99"/>
      <c r="T677" s="100"/>
      <c r="V677" s="99"/>
      <c r="W677" s="99"/>
      <c r="Y677" s="47"/>
    </row>
    <row r="678" spans="17:25" ht="15.75" customHeight="1" x14ac:dyDescent="0.25">
      <c r="Q678" s="99"/>
      <c r="R678" s="99"/>
      <c r="S678" s="99"/>
      <c r="T678" s="100"/>
      <c r="V678" s="99"/>
      <c r="W678" s="99"/>
      <c r="Y678" s="47"/>
    </row>
    <row r="679" spans="17:25" ht="15.75" customHeight="1" x14ac:dyDescent="0.25">
      <c r="Q679" s="99"/>
      <c r="R679" s="99"/>
      <c r="S679" s="99"/>
      <c r="T679" s="100"/>
      <c r="V679" s="99"/>
      <c r="W679" s="99"/>
      <c r="Y679" s="47"/>
    </row>
    <row r="680" spans="17:25" ht="15.75" customHeight="1" x14ac:dyDescent="0.25">
      <c r="Q680" s="99"/>
      <c r="R680" s="99"/>
      <c r="S680" s="99"/>
      <c r="T680" s="100"/>
      <c r="V680" s="99"/>
      <c r="W680" s="99"/>
      <c r="Y680" s="47"/>
    </row>
    <row r="681" spans="17:25" ht="15.75" customHeight="1" x14ac:dyDescent="0.25">
      <c r="Q681" s="99"/>
      <c r="R681" s="99"/>
      <c r="S681" s="99"/>
      <c r="T681" s="100"/>
      <c r="V681" s="99"/>
      <c r="W681" s="99"/>
      <c r="Y681" s="47"/>
    </row>
    <row r="682" spans="17:25" ht="15.75" customHeight="1" x14ac:dyDescent="0.25">
      <c r="Q682" s="99"/>
      <c r="R682" s="99"/>
      <c r="S682" s="99"/>
      <c r="T682" s="100"/>
      <c r="V682" s="99"/>
      <c r="W682" s="99"/>
      <c r="Y682" s="47"/>
    </row>
    <row r="683" spans="17:25" ht="15.75" customHeight="1" x14ac:dyDescent="0.25">
      <c r="Q683" s="99"/>
      <c r="R683" s="99"/>
      <c r="S683" s="99"/>
      <c r="T683" s="100"/>
      <c r="V683" s="99"/>
      <c r="W683" s="99"/>
      <c r="Y683" s="47"/>
    </row>
    <row r="684" spans="17:25" ht="15.75" customHeight="1" x14ac:dyDescent="0.25">
      <c r="Q684" s="99"/>
      <c r="R684" s="99"/>
      <c r="S684" s="99"/>
      <c r="T684" s="100"/>
      <c r="V684" s="99"/>
      <c r="W684" s="99"/>
      <c r="Y684" s="47"/>
    </row>
    <row r="685" spans="17:25" ht="15.75" customHeight="1" x14ac:dyDescent="0.25">
      <c r="Q685" s="99"/>
      <c r="R685" s="99"/>
      <c r="S685" s="99"/>
      <c r="T685" s="100"/>
      <c r="V685" s="99"/>
      <c r="W685" s="99"/>
      <c r="Y685" s="47"/>
    </row>
    <row r="686" spans="17:25" ht="15.75" customHeight="1" x14ac:dyDescent="0.25">
      <c r="Q686" s="99"/>
      <c r="R686" s="99"/>
      <c r="S686" s="99"/>
      <c r="T686" s="100"/>
      <c r="V686" s="99"/>
      <c r="W686" s="99"/>
      <c r="Y686" s="47"/>
    </row>
    <row r="687" spans="17:25" ht="15.75" customHeight="1" x14ac:dyDescent="0.25">
      <c r="Q687" s="99"/>
      <c r="R687" s="99"/>
      <c r="S687" s="99"/>
      <c r="T687" s="100"/>
      <c r="V687" s="99"/>
      <c r="W687" s="99"/>
      <c r="Y687" s="47"/>
    </row>
    <row r="688" spans="17:25" ht="15.75" customHeight="1" x14ac:dyDescent="0.25">
      <c r="Q688" s="99"/>
      <c r="R688" s="99"/>
      <c r="S688" s="99"/>
      <c r="T688" s="100"/>
      <c r="V688" s="99"/>
      <c r="W688" s="99"/>
      <c r="Y688" s="47"/>
    </row>
    <row r="689" spans="17:25" ht="15.75" customHeight="1" x14ac:dyDescent="0.25">
      <c r="Q689" s="99"/>
      <c r="R689" s="99"/>
      <c r="S689" s="99"/>
      <c r="T689" s="100"/>
      <c r="V689" s="99"/>
      <c r="W689" s="99"/>
      <c r="Y689" s="47"/>
    </row>
    <row r="690" spans="17:25" ht="15.75" customHeight="1" x14ac:dyDescent="0.25">
      <c r="Q690" s="99"/>
      <c r="R690" s="99"/>
      <c r="S690" s="99"/>
      <c r="T690" s="100"/>
      <c r="V690" s="99"/>
      <c r="W690" s="99"/>
      <c r="Y690" s="47"/>
    </row>
    <row r="691" spans="17:25" ht="15.75" customHeight="1" x14ac:dyDescent="0.25">
      <c r="Q691" s="99"/>
      <c r="R691" s="99"/>
      <c r="S691" s="99"/>
      <c r="T691" s="100"/>
      <c r="V691" s="99"/>
      <c r="W691" s="99"/>
      <c r="Y691" s="47"/>
    </row>
    <row r="692" spans="17:25" ht="15.75" customHeight="1" x14ac:dyDescent="0.25">
      <c r="Q692" s="99"/>
      <c r="R692" s="99"/>
      <c r="S692" s="99"/>
      <c r="T692" s="100"/>
      <c r="V692" s="99"/>
      <c r="W692" s="99"/>
      <c r="Y692" s="47"/>
    </row>
    <row r="693" spans="17:25" ht="15.75" customHeight="1" x14ac:dyDescent="0.25">
      <c r="Q693" s="99"/>
      <c r="R693" s="99"/>
      <c r="S693" s="99"/>
      <c r="T693" s="100"/>
      <c r="V693" s="99"/>
      <c r="W693" s="99"/>
      <c r="Y693" s="47"/>
    </row>
    <row r="694" spans="17:25" ht="15.75" customHeight="1" x14ac:dyDescent="0.25">
      <c r="Q694" s="99"/>
      <c r="R694" s="99"/>
      <c r="S694" s="99"/>
      <c r="T694" s="100"/>
      <c r="V694" s="99"/>
      <c r="W694" s="99"/>
      <c r="Y694" s="47"/>
    </row>
    <row r="695" spans="17:25" ht="15.75" customHeight="1" x14ac:dyDescent="0.25">
      <c r="Q695" s="99"/>
      <c r="R695" s="99"/>
      <c r="S695" s="99"/>
      <c r="T695" s="100"/>
      <c r="V695" s="99"/>
      <c r="W695" s="99"/>
      <c r="Y695" s="47"/>
    </row>
    <row r="696" spans="17:25" ht="15.75" customHeight="1" x14ac:dyDescent="0.25">
      <c r="Q696" s="99"/>
      <c r="R696" s="99"/>
      <c r="S696" s="99"/>
      <c r="T696" s="100"/>
      <c r="V696" s="99"/>
      <c r="W696" s="99"/>
      <c r="Y696" s="47"/>
    </row>
    <row r="697" spans="17:25" ht="15.75" customHeight="1" x14ac:dyDescent="0.25">
      <c r="Q697" s="99"/>
      <c r="R697" s="99"/>
      <c r="S697" s="99"/>
      <c r="T697" s="100"/>
      <c r="V697" s="99"/>
      <c r="W697" s="99"/>
      <c r="Y697" s="47"/>
    </row>
    <row r="698" spans="17:25" ht="15.75" customHeight="1" x14ac:dyDescent="0.25">
      <c r="Q698" s="99"/>
      <c r="R698" s="99"/>
      <c r="S698" s="99"/>
      <c r="T698" s="100"/>
      <c r="V698" s="99"/>
      <c r="W698" s="99"/>
      <c r="Y698" s="47"/>
    </row>
    <row r="699" spans="17:25" ht="15.75" customHeight="1" x14ac:dyDescent="0.25">
      <c r="Q699" s="99"/>
      <c r="R699" s="99"/>
      <c r="S699" s="99"/>
      <c r="T699" s="100"/>
      <c r="V699" s="99"/>
      <c r="W699" s="99"/>
      <c r="Y699" s="47"/>
    </row>
    <row r="700" spans="17:25" ht="15.75" customHeight="1" x14ac:dyDescent="0.25">
      <c r="Q700" s="99"/>
      <c r="R700" s="99"/>
      <c r="S700" s="99"/>
      <c r="T700" s="100"/>
      <c r="V700" s="99"/>
      <c r="W700" s="99"/>
      <c r="Y700" s="47"/>
    </row>
    <row r="701" spans="17:25" ht="15.75" customHeight="1" x14ac:dyDescent="0.25">
      <c r="Q701" s="99"/>
      <c r="R701" s="99"/>
      <c r="S701" s="99"/>
      <c r="T701" s="100"/>
      <c r="V701" s="99"/>
      <c r="W701" s="99"/>
      <c r="Y701" s="47"/>
    </row>
    <row r="702" spans="17:25" ht="15.75" customHeight="1" x14ac:dyDescent="0.25">
      <c r="Q702" s="99"/>
      <c r="R702" s="99"/>
      <c r="S702" s="99"/>
      <c r="T702" s="100"/>
      <c r="V702" s="99"/>
      <c r="W702" s="99"/>
      <c r="Y702" s="47"/>
    </row>
    <row r="703" spans="17:25" ht="15.75" customHeight="1" x14ac:dyDescent="0.25">
      <c r="Q703" s="99"/>
      <c r="R703" s="99"/>
      <c r="S703" s="99"/>
      <c r="T703" s="100"/>
      <c r="V703" s="99"/>
      <c r="W703" s="99"/>
      <c r="Y703" s="47"/>
    </row>
    <row r="704" spans="17:25" ht="15.75" customHeight="1" x14ac:dyDescent="0.25">
      <c r="Q704" s="99"/>
      <c r="R704" s="99"/>
      <c r="S704" s="99"/>
      <c r="T704" s="100"/>
      <c r="V704" s="99"/>
      <c r="W704" s="99"/>
      <c r="Y704" s="47"/>
    </row>
    <row r="705" spans="17:25" ht="15.75" customHeight="1" x14ac:dyDescent="0.25">
      <c r="Q705" s="99"/>
      <c r="R705" s="99"/>
      <c r="S705" s="99"/>
      <c r="T705" s="100"/>
      <c r="V705" s="99"/>
      <c r="W705" s="99"/>
      <c r="Y705" s="47"/>
    </row>
    <row r="706" spans="17:25" ht="15.75" customHeight="1" x14ac:dyDescent="0.25">
      <c r="Q706" s="99"/>
      <c r="R706" s="99"/>
      <c r="S706" s="99"/>
      <c r="T706" s="100"/>
      <c r="V706" s="99"/>
      <c r="W706" s="99"/>
      <c r="Y706" s="47"/>
    </row>
    <row r="707" spans="17:25" ht="15.75" customHeight="1" x14ac:dyDescent="0.25">
      <c r="Q707" s="99"/>
      <c r="R707" s="99"/>
      <c r="S707" s="99"/>
      <c r="T707" s="100"/>
      <c r="V707" s="99"/>
      <c r="W707" s="99"/>
      <c r="Y707" s="47"/>
    </row>
    <row r="708" spans="17:25" ht="15.75" customHeight="1" x14ac:dyDescent="0.25">
      <c r="Q708" s="99"/>
      <c r="R708" s="99"/>
      <c r="S708" s="99"/>
      <c r="T708" s="100"/>
      <c r="V708" s="99"/>
      <c r="W708" s="99"/>
      <c r="Y708" s="47"/>
    </row>
    <row r="709" spans="17:25" ht="15.75" customHeight="1" x14ac:dyDescent="0.25">
      <c r="Q709" s="99"/>
      <c r="R709" s="99"/>
      <c r="S709" s="99"/>
      <c r="T709" s="100"/>
      <c r="V709" s="99"/>
      <c r="W709" s="99"/>
      <c r="Y709" s="47"/>
    </row>
    <row r="710" spans="17:25" ht="15.75" customHeight="1" x14ac:dyDescent="0.25">
      <c r="Q710" s="99"/>
      <c r="R710" s="99"/>
      <c r="S710" s="99"/>
      <c r="T710" s="100"/>
      <c r="V710" s="99"/>
      <c r="W710" s="99"/>
      <c r="Y710" s="47"/>
    </row>
    <row r="711" spans="17:25" ht="15.75" customHeight="1" x14ac:dyDescent="0.25">
      <c r="Q711" s="99"/>
      <c r="R711" s="99"/>
      <c r="S711" s="99"/>
      <c r="T711" s="100"/>
      <c r="V711" s="99"/>
      <c r="W711" s="99"/>
      <c r="Y711" s="47"/>
    </row>
    <row r="712" spans="17:25" ht="15.75" customHeight="1" x14ac:dyDescent="0.25">
      <c r="Q712" s="99"/>
      <c r="R712" s="99"/>
      <c r="S712" s="99"/>
      <c r="T712" s="100"/>
      <c r="V712" s="99"/>
      <c r="W712" s="99"/>
      <c r="Y712" s="47"/>
    </row>
    <row r="713" spans="17:25" ht="15.75" customHeight="1" x14ac:dyDescent="0.25">
      <c r="Q713" s="99"/>
      <c r="R713" s="99"/>
      <c r="S713" s="99"/>
      <c r="T713" s="100"/>
      <c r="V713" s="99"/>
      <c r="W713" s="99"/>
      <c r="Y713" s="47"/>
    </row>
    <row r="714" spans="17:25" ht="15.75" customHeight="1" x14ac:dyDescent="0.25">
      <c r="Q714" s="99"/>
      <c r="R714" s="99"/>
      <c r="S714" s="99"/>
      <c r="T714" s="100"/>
      <c r="V714" s="99"/>
      <c r="W714" s="99"/>
      <c r="Y714" s="47"/>
    </row>
    <row r="715" spans="17:25" ht="15.75" customHeight="1" x14ac:dyDescent="0.25">
      <c r="Q715" s="99"/>
      <c r="R715" s="99"/>
      <c r="S715" s="99"/>
      <c r="T715" s="100"/>
      <c r="V715" s="99"/>
      <c r="W715" s="99"/>
      <c r="Y715" s="47"/>
    </row>
    <row r="716" spans="17:25" ht="15.75" customHeight="1" x14ac:dyDescent="0.25">
      <c r="Q716" s="99"/>
      <c r="R716" s="99"/>
      <c r="S716" s="99"/>
      <c r="T716" s="100"/>
      <c r="V716" s="99"/>
      <c r="W716" s="99"/>
      <c r="Y716" s="47"/>
    </row>
    <row r="717" spans="17:25" ht="15.75" customHeight="1" x14ac:dyDescent="0.25">
      <c r="Q717" s="99"/>
      <c r="R717" s="99"/>
      <c r="S717" s="99"/>
      <c r="T717" s="100"/>
      <c r="V717" s="99"/>
      <c r="W717" s="99"/>
      <c r="Y717" s="47"/>
    </row>
    <row r="718" spans="17:25" ht="15.75" customHeight="1" x14ac:dyDescent="0.25">
      <c r="Q718" s="99"/>
      <c r="R718" s="99"/>
      <c r="S718" s="99"/>
      <c r="T718" s="100"/>
      <c r="V718" s="99"/>
      <c r="W718" s="99"/>
      <c r="Y718" s="47"/>
    </row>
    <row r="719" spans="17:25" ht="15.75" customHeight="1" x14ac:dyDescent="0.25">
      <c r="Q719" s="99"/>
      <c r="R719" s="99"/>
      <c r="S719" s="99"/>
      <c r="T719" s="100"/>
      <c r="V719" s="99"/>
      <c r="W719" s="99"/>
      <c r="Y719" s="47"/>
    </row>
    <row r="720" spans="17:25" ht="15.75" customHeight="1" x14ac:dyDescent="0.25">
      <c r="Q720" s="99"/>
      <c r="R720" s="99"/>
      <c r="S720" s="99"/>
      <c r="T720" s="100"/>
      <c r="V720" s="99"/>
      <c r="W720" s="99"/>
      <c r="Y720" s="47"/>
    </row>
    <row r="721" spans="17:25" ht="15.75" customHeight="1" x14ac:dyDescent="0.25">
      <c r="Q721" s="99"/>
      <c r="R721" s="99"/>
      <c r="S721" s="99"/>
      <c r="T721" s="100"/>
      <c r="V721" s="99"/>
      <c r="W721" s="99"/>
      <c r="Y721" s="47"/>
    </row>
    <row r="722" spans="17:25" ht="15.75" customHeight="1" x14ac:dyDescent="0.25">
      <c r="Q722" s="99"/>
      <c r="R722" s="99"/>
      <c r="S722" s="99"/>
      <c r="T722" s="100"/>
      <c r="V722" s="99"/>
      <c r="W722" s="99"/>
      <c r="Y722" s="47"/>
    </row>
    <row r="723" spans="17:25" ht="15.75" customHeight="1" x14ac:dyDescent="0.25">
      <c r="Q723" s="99"/>
      <c r="R723" s="99"/>
      <c r="S723" s="99"/>
      <c r="T723" s="100"/>
      <c r="V723" s="99"/>
      <c r="W723" s="99"/>
      <c r="Y723" s="47"/>
    </row>
    <row r="724" spans="17:25" ht="15.75" customHeight="1" x14ac:dyDescent="0.25">
      <c r="Q724" s="99"/>
      <c r="R724" s="99"/>
      <c r="S724" s="99"/>
      <c r="T724" s="100"/>
      <c r="V724" s="99"/>
      <c r="W724" s="99"/>
      <c r="Y724" s="47"/>
    </row>
    <row r="725" spans="17:25" ht="15.75" customHeight="1" x14ac:dyDescent="0.25">
      <c r="Q725" s="99"/>
      <c r="R725" s="99"/>
      <c r="S725" s="99"/>
      <c r="T725" s="100"/>
      <c r="V725" s="99"/>
      <c r="W725" s="99"/>
      <c r="Y725" s="47"/>
    </row>
    <row r="726" spans="17:25" ht="15.75" customHeight="1" x14ac:dyDescent="0.25">
      <c r="Q726" s="99"/>
      <c r="R726" s="99"/>
      <c r="S726" s="99"/>
      <c r="T726" s="100"/>
      <c r="V726" s="99"/>
      <c r="W726" s="99"/>
      <c r="Y726" s="47"/>
    </row>
    <row r="727" spans="17:25" ht="15.75" customHeight="1" x14ac:dyDescent="0.25">
      <c r="Q727" s="99"/>
      <c r="R727" s="99"/>
      <c r="S727" s="99"/>
      <c r="T727" s="100"/>
      <c r="V727" s="99"/>
      <c r="W727" s="99"/>
      <c r="Y727" s="47"/>
    </row>
    <row r="728" spans="17:25" ht="15.75" customHeight="1" x14ac:dyDescent="0.25">
      <c r="Q728" s="99"/>
      <c r="R728" s="99"/>
      <c r="S728" s="99"/>
      <c r="T728" s="100"/>
      <c r="V728" s="99"/>
      <c r="W728" s="99"/>
      <c r="Y728" s="47"/>
    </row>
    <row r="729" spans="17:25" ht="15.75" customHeight="1" x14ac:dyDescent="0.25">
      <c r="Q729" s="99"/>
      <c r="R729" s="99"/>
      <c r="S729" s="99"/>
      <c r="T729" s="100"/>
      <c r="V729" s="99"/>
      <c r="W729" s="99"/>
      <c r="Y729" s="47"/>
    </row>
    <row r="730" spans="17:25" ht="15.75" customHeight="1" x14ac:dyDescent="0.25">
      <c r="Q730" s="99"/>
      <c r="R730" s="99"/>
      <c r="S730" s="99"/>
      <c r="T730" s="100"/>
      <c r="V730" s="99"/>
      <c r="W730" s="99"/>
      <c r="Y730" s="47"/>
    </row>
    <row r="731" spans="17:25" ht="15.75" customHeight="1" x14ac:dyDescent="0.25">
      <c r="Q731" s="99"/>
      <c r="R731" s="99"/>
      <c r="S731" s="99"/>
      <c r="T731" s="100"/>
      <c r="V731" s="99"/>
      <c r="W731" s="99"/>
      <c r="Y731" s="47"/>
    </row>
    <row r="732" spans="17:25" ht="15.75" customHeight="1" x14ac:dyDescent="0.25">
      <c r="Q732" s="99"/>
      <c r="R732" s="99"/>
      <c r="S732" s="99"/>
      <c r="T732" s="100"/>
      <c r="V732" s="99"/>
      <c r="W732" s="99"/>
      <c r="Y732" s="47"/>
    </row>
    <row r="733" spans="17:25" ht="15.75" customHeight="1" x14ac:dyDescent="0.25">
      <c r="Q733" s="99"/>
      <c r="R733" s="99"/>
      <c r="S733" s="99"/>
      <c r="T733" s="100"/>
      <c r="V733" s="99"/>
      <c r="W733" s="99"/>
      <c r="Y733" s="47"/>
    </row>
    <row r="734" spans="17:25" ht="15.75" customHeight="1" x14ac:dyDescent="0.25">
      <c r="Q734" s="99"/>
      <c r="R734" s="99"/>
      <c r="S734" s="99"/>
      <c r="T734" s="100"/>
      <c r="V734" s="99"/>
      <c r="W734" s="99"/>
      <c r="Y734" s="47"/>
    </row>
    <row r="735" spans="17:25" ht="15.75" customHeight="1" x14ac:dyDescent="0.25">
      <c r="Q735" s="99"/>
      <c r="R735" s="99"/>
      <c r="S735" s="99"/>
      <c r="T735" s="100"/>
      <c r="V735" s="99"/>
      <c r="W735" s="99"/>
      <c r="Y735" s="47"/>
    </row>
    <row r="736" spans="17:25" ht="15.75" customHeight="1" x14ac:dyDescent="0.25">
      <c r="Q736" s="99"/>
      <c r="R736" s="99"/>
      <c r="S736" s="99"/>
      <c r="T736" s="100"/>
      <c r="V736" s="99"/>
      <c r="W736" s="99"/>
      <c r="Y736" s="47"/>
    </row>
    <row r="737" spans="17:25" ht="15.75" customHeight="1" x14ac:dyDescent="0.25">
      <c r="Q737" s="99"/>
      <c r="R737" s="99"/>
      <c r="S737" s="99"/>
      <c r="T737" s="100"/>
      <c r="V737" s="99"/>
      <c r="W737" s="99"/>
      <c r="Y737" s="47"/>
    </row>
    <row r="738" spans="17:25" ht="15.75" customHeight="1" x14ac:dyDescent="0.25">
      <c r="Q738" s="99"/>
      <c r="R738" s="99"/>
      <c r="S738" s="99"/>
      <c r="T738" s="100"/>
      <c r="V738" s="99"/>
      <c r="W738" s="99"/>
      <c r="Y738" s="47"/>
    </row>
    <row r="739" spans="17:25" ht="15.75" customHeight="1" x14ac:dyDescent="0.25">
      <c r="Q739" s="99"/>
      <c r="R739" s="99"/>
      <c r="S739" s="99"/>
      <c r="T739" s="100"/>
      <c r="V739" s="99"/>
      <c r="W739" s="99"/>
      <c r="Y739" s="47"/>
    </row>
    <row r="740" spans="17:25" ht="15.75" customHeight="1" x14ac:dyDescent="0.25">
      <c r="Q740" s="99"/>
      <c r="R740" s="99"/>
      <c r="S740" s="99"/>
      <c r="T740" s="100"/>
      <c r="V740" s="99"/>
      <c r="W740" s="99"/>
      <c r="Y740" s="47"/>
    </row>
    <row r="741" spans="17:25" ht="15.75" customHeight="1" x14ac:dyDescent="0.25">
      <c r="Q741" s="99"/>
      <c r="R741" s="99"/>
      <c r="S741" s="99"/>
      <c r="T741" s="100"/>
      <c r="V741" s="99"/>
      <c r="W741" s="99"/>
      <c r="Y741" s="47"/>
    </row>
    <row r="742" spans="17:25" ht="15.75" customHeight="1" x14ac:dyDescent="0.25">
      <c r="Q742" s="99"/>
      <c r="R742" s="99"/>
      <c r="S742" s="99"/>
      <c r="T742" s="100"/>
      <c r="V742" s="99"/>
      <c r="W742" s="99"/>
      <c r="Y742" s="47"/>
    </row>
    <row r="743" spans="17:25" ht="15.75" customHeight="1" x14ac:dyDescent="0.25">
      <c r="Q743" s="99"/>
      <c r="R743" s="99"/>
      <c r="S743" s="99"/>
      <c r="T743" s="100"/>
      <c r="V743" s="99"/>
      <c r="W743" s="99"/>
      <c r="Y743" s="47"/>
    </row>
    <row r="744" spans="17:25" ht="15.75" customHeight="1" x14ac:dyDescent="0.25">
      <c r="Q744" s="99"/>
      <c r="R744" s="99"/>
      <c r="S744" s="99"/>
      <c r="T744" s="100"/>
      <c r="V744" s="99"/>
      <c r="W744" s="99"/>
      <c r="Y744" s="47"/>
    </row>
    <row r="745" spans="17:25" ht="15.75" customHeight="1" x14ac:dyDescent="0.25">
      <c r="Q745" s="99"/>
      <c r="R745" s="99"/>
      <c r="S745" s="99"/>
      <c r="T745" s="100"/>
      <c r="V745" s="99"/>
      <c r="W745" s="99"/>
      <c r="Y745" s="47"/>
    </row>
    <row r="746" spans="17:25" ht="15.75" customHeight="1" x14ac:dyDescent="0.25">
      <c r="Q746" s="99"/>
      <c r="R746" s="99"/>
      <c r="S746" s="99"/>
      <c r="T746" s="100"/>
      <c r="V746" s="99"/>
      <c r="W746" s="99"/>
      <c r="Y746" s="47"/>
    </row>
    <row r="747" spans="17:25" ht="15.75" customHeight="1" x14ac:dyDescent="0.25">
      <c r="Q747" s="99"/>
      <c r="R747" s="99"/>
      <c r="S747" s="99"/>
      <c r="T747" s="100"/>
      <c r="V747" s="99"/>
      <c r="W747" s="99"/>
      <c r="Y747" s="47"/>
    </row>
    <row r="748" spans="17:25" ht="15.75" customHeight="1" x14ac:dyDescent="0.25">
      <c r="Q748" s="99"/>
      <c r="R748" s="99"/>
      <c r="S748" s="99"/>
      <c r="T748" s="100"/>
      <c r="V748" s="99"/>
      <c r="W748" s="99"/>
      <c r="Y748" s="47"/>
    </row>
    <row r="749" spans="17:25" ht="15.75" customHeight="1" x14ac:dyDescent="0.25">
      <c r="Q749" s="99"/>
      <c r="R749" s="99"/>
      <c r="S749" s="99"/>
      <c r="T749" s="100"/>
      <c r="V749" s="99"/>
      <c r="W749" s="99"/>
      <c r="Y749" s="47"/>
    </row>
    <row r="750" spans="17:25" ht="15.75" customHeight="1" x14ac:dyDescent="0.25">
      <c r="Q750" s="99"/>
      <c r="R750" s="99"/>
      <c r="S750" s="99"/>
      <c r="T750" s="100"/>
      <c r="V750" s="99"/>
      <c r="W750" s="99"/>
      <c r="Y750" s="47"/>
    </row>
    <row r="751" spans="17:25" ht="15.75" customHeight="1" x14ac:dyDescent="0.25">
      <c r="Q751" s="99"/>
      <c r="R751" s="99"/>
      <c r="S751" s="99"/>
      <c r="T751" s="100"/>
      <c r="V751" s="99"/>
      <c r="W751" s="99"/>
      <c r="Y751" s="47"/>
    </row>
    <row r="752" spans="17:25" ht="15.75" customHeight="1" x14ac:dyDescent="0.25">
      <c r="Q752" s="99"/>
      <c r="R752" s="99"/>
      <c r="S752" s="99"/>
      <c r="T752" s="100"/>
      <c r="V752" s="99"/>
      <c r="W752" s="99"/>
      <c r="Y752" s="47"/>
    </row>
    <row r="753" spans="17:25" ht="15.75" customHeight="1" x14ac:dyDescent="0.25">
      <c r="Q753" s="99"/>
      <c r="R753" s="99"/>
      <c r="S753" s="99"/>
      <c r="T753" s="100"/>
      <c r="V753" s="99"/>
      <c r="W753" s="99"/>
      <c r="Y753" s="47"/>
    </row>
    <row r="754" spans="17:25" ht="15.75" customHeight="1" x14ac:dyDescent="0.25">
      <c r="Q754" s="99"/>
      <c r="R754" s="99"/>
      <c r="S754" s="99"/>
      <c r="T754" s="100"/>
      <c r="V754" s="99"/>
      <c r="W754" s="99"/>
      <c r="Y754" s="47"/>
    </row>
    <row r="755" spans="17:25" ht="15.75" customHeight="1" x14ac:dyDescent="0.25">
      <c r="Q755" s="99"/>
      <c r="R755" s="99"/>
      <c r="S755" s="99"/>
      <c r="T755" s="100"/>
      <c r="V755" s="99"/>
      <c r="W755" s="99"/>
      <c r="Y755" s="47"/>
    </row>
    <row r="756" spans="17:25" ht="15.75" customHeight="1" x14ac:dyDescent="0.25">
      <c r="Q756" s="99"/>
      <c r="R756" s="99"/>
      <c r="S756" s="99"/>
      <c r="T756" s="100"/>
      <c r="V756" s="99"/>
      <c r="W756" s="99"/>
      <c r="Y756" s="47"/>
    </row>
    <row r="757" spans="17:25" ht="15.75" customHeight="1" x14ac:dyDescent="0.25">
      <c r="Q757" s="99"/>
      <c r="R757" s="99"/>
      <c r="S757" s="99"/>
      <c r="T757" s="100"/>
      <c r="V757" s="99"/>
      <c r="W757" s="99"/>
      <c r="Y757" s="47"/>
    </row>
    <row r="758" spans="17:25" ht="15.75" customHeight="1" x14ac:dyDescent="0.25">
      <c r="Q758" s="99"/>
      <c r="R758" s="99"/>
      <c r="S758" s="99"/>
      <c r="T758" s="100"/>
      <c r="V758" s="99"/>
      <c r="W758" s="99"/>
      <c r="Y758" s="47"/>
    </row>
    <row r="759" spans="17:25" ht="15.75" customHeight="1" x14ac:dyDescent="0.25">
      <c r="Q759" s="99"/>
      <c r="R759" s="99"/>
      <c r="S759" s="99"/>
      <c r="T759" s="100"/>
      <c r="V759" s="99"/>
      <c r="W759" s="99"/>
      <c r="Y759" s="47"/>
    </row>
    <row r="760" spans="17:25" ht="15.75" customHeight="1" x14ac:dyDescent="0.25">
      <c r="Q760" s="99"/>
      <c r="R760" s="99"/>
      <c r="S760" s="99"/>
      <c r="T760" s="100"/>
      <c r="V760" s="99"/>
      <c r="W760" s="99"/>
      <c r="Y760" s="47"/>
    </row>
    <row r="761" spans="17:25" ht="15.75" customHeight="1" x14ac:dyDescent="0.25">
      <c r="Q761" s="99"/>
      <c r="R761" s="99"/>
      <c r="S761" s="99"/>
      <c r="T761" s="100"/>
      <c r="V761" s="99"/>
      <c r="W761" s="99"/>
      <c r="Y761" s="47"/>
    </row>
    <row r="762" spans="17:25" ht="15.75" customHeight="1" x14ac:dyDescent="0.25">
      <c r="Q762" s="99"/>
      <c r="R762" s="99"/>
      <c r="S762" s="99"/>
      <c r="T762" s="100"/>
      <c r="V762" s="99"/>
      <c r="W762" s="99"/>
      <c r="Y762" s="47"/>
    </row>
    <row r="763" spans="17:25" ht="15.75" customHeight="1" x14ac:dyDescent="0.25">
      <c r="Q763" s="99"/>
      <c r="R763" s="99"/>
      <c r="S763" s="99"/>
      <c r="T763" s="100"/>
      <c r="V763" s="99"/>
      <c r="W763" s="99"/>
      <c r="Y763" s="47"/>
    </row>
    <row r="764" spans="17:25" ht="15.75" customHeight="1" x14ac:dyDescent="0.25">
      <c r="Q764" s="99"/>
      <c r="R764" s="99"/>
      <c r="S764" s="99"/>
      <c r="T764" s="100"/>
      <c r="V764" s="99"/>
      <c r="W764" s="99"/>
      <c r="Y764" s="47"/>
    </row>
    <row r="765" spans="17:25" ht="15.75" customHeight="1" x14ac:dyDescent="0.25">
      <c r="Q765" s="99"/>
      <c r="R765" s="99"/>
      <c r="S765" s="99"/>
      <c r="T765" s="100"/>
      <c r="V765" s="99"/>
      <c r="W765" s="99"/>
      <c r="Y765" s="47"/>
    </row>
    <row r="766" spans="17:25" ht="15.75" customHeight="1" x14ac:dyDescent="0.25">
      <c r="Q766" s="99"/>
      <c r="R766" s="99"/>
      <c r="S766" s="99"/>
      <c r="T766" s="100"/>
      <c r="V766" s="99"/>
      <c r="W766" s="99"/>
      <c r="Y766" s="47"/>
    </row>
    <row r="767" spans="17:25" ht="15.75" customHeight="1" x14ac:dyDescent="0.25">
      <c r="Q767" s="99"/>
      <c r="R767" s="99"/>
      <c r="S767" s="99"/>
      <c r="T767" s="100"/>
      <c r="V767" s="99"/>
      <c r="W767" s="99"/>
      <c r="Y767" s="47"/>
    </row>
    <row r="768" spans="17:25" ht="15.75" customHeight="1" x14ac:dyDescent="0.25">
      <c r="Q768" s="99"/>
      <c r="R768" s="99"/>
      <c r="S768" s="99"/>
      <c r="T768" s="100"/>
      <c r="V768" s="99"/>
      <c r="W768" s="99"/>
      <c r="Y768" s="47"/>
    </row>
    <row r="769" spans="17:25" ht="15.75" customHeight="1" x14ac:dyDescent="0.25">
      <c r="Q769" s="99"/>
      <c r="R769" s="99"/>
      <c r="S769" s="99"/>
      <c r="T769" s="100"/>
      <c r="V769" s="99"/>
      <c r="W769" s="99"/>
      <c r="Y769" s="47"/>
    </row>
    <row r="770" spans="17:25" ht="15.75" customHeight="1" x14ac:dyDescent="0.25">
      <c r="Q770" s="99"/>
      <c r="R770" s="99"/>
      <c r="S770" s="99"/>
      <c r="T770" s="100"/>
      <c r="V770" s="99"/>
      <c r="W770" s="99"/>
      <c r="Y770" s="47"/>
    </row>
    <row r="771" spans="17:25" ht="15.75" customHeight="1" x14ac:dyDescent="0.25">
      <c r="Q771" s="99"/>
      <c r="R771" s="99"/>
      <c r="S771" s="99"/>
      <c r="T771" s="100"/>
      <c r="V771" s="99"/>
      <c r="W771" s="99"/>
      <c r="Y771" s="47"/>
    </row>
    <row r="772" spans="17:25" ht="15.75" customHeight="1" x14ac:dyDescent="0.25">
      <c r="Q772" s="99"/>
      <c r="R772" s="99"/>
      <c r="S772" s="99"/>
      <c r="T772" s="100"/>
      <c r="V772" s="99"/>
      <c r="W772" s="99"/>
      <c r="Y772" s="47"/>
    </row>
    <row r="773" spans="17:25" ht="15.75" customHeight="1" x14ac:dyDescent="0.25">
      <c r="Q773" s="99"/>
      <c r="R773" s="99"/>
      <c r="S773" s="99"/>
      <c r="T773" s="100"/>
      <c r="V773" s="99"/>
      <c r="W773" s="99"/>
      <c r="Y773" s="47"/>
    </row>
    <row r="774" spans="17:25" ht="15.75" customHeight="1" x14ac:dyDescent="0.25">
      <c r="Q774" s="99"/>
      <c r="R774" s="99"/>
      <c r="S774" s="99"/>
      <c r="T774" s="100"/>
      <c r="V774" s="99"/>
      <c r="W774" s="99"/>
      <c r="Y774" s="47"/>
    </row>
    <row r="775" spans="17:25" ht="15.75" customHeight="1" x14ac:dyDescent="0.25">
      <c r="Q775" s="99"/>
      <c r="R775" s="99"/>
      <c r="S775" s="99"/>
      <c r="T775" s="100"/>
      <c r="V775" s="99"/>
      <c r="W775" s="99"/>
      <c r="Y775" s="47"/>
    </row>
    <row r="776" spans="17:25" ht="15.75" customHeight="1" x14ac:dyDescent="0.25">
      <c r="Q776" s="99"/>
      <c r="R776" s="99"/>
      <c r="S776" s="99"/>
      <c r="T776" s="100"/>
      <c r="V776" s="99"/>
      <c r="W776" s="99"/>
      <c r="Y776" s="47"/>
    </row>
    <row r="777" spans="17:25" ht="15.75" customHeight="1" x14ac:dyDescent="0.25">
      <c r="Q777" s="99"/>
      <c r="R777" s="99"/>
      <c r="S777" s="99"/>
      <c r="T777" s="100"/>
      <c r="V777" s="99"/>
      <c r="W777" s="99"/>
      <c r="Y777" s="47"/>
    </row>
    <row r="778" spans="17:25" ht="15.75" customHeight="1" x14ac:dyDescent="0.25">
      <c r="Q778" s="99"/>
      <c r="R778" s="99"/>
      <c r="S778" s="99"/>
      <c r="T778" s="100"/>
      <c r="V778" s="99"/>
      <c r="W778" s="99"/>
      <c r="Y778" s="47"/>
    </row>
    <row r="779" spans="17:25" ht="15.75" customHeight="1" x14ac:dyDescent="0.25">
      <c r="Q779" s="99"/>
      <c r="R779" s="99"/>
      <c r="S779" s="99"/>
      <c r="T779" s="100"/>
      <c r="V779" s="99"/>
      <c r="W779" s="99"/>
      <c r="Y779" s="47"/>
    </row>
    <row r="780" spans="17:25" ht="15.75" customHeight="1" x14ac:dyDescent="0.25">
      <c r="Q780" s="99"/>
      <c r="R780" s="99"/>
      <c r="S780" s="99"/>
      <c r="T780" s="100"/>
      <c r="V780" s="99"/>
      <c r="W780" s="99"/>
      <c r="Y780" s="47"/>
    </row>
    <row r="781" spans="17:25" ht="15.75" customHeight="1" x14ac:dyDescent="0.25">
      <c r="Q781" s="99"/>
      <c r="R781" s="99"/>
      <c r="S781" s="99"/>
      <c r="T781" s="100"/>
      <c r="V781" s="99"/>
      <c r="W781" s="99"/>
      <c r="Y781" s="47"/>
    </row>
    <row r="782" spans="17:25" ht="15.75" customHeight="1" x14ac:dyDescent="0.25">
      <c r="Q782" s="99"/>
      <c r="R782" s="99"/>
      <c r="S782" s="99"/>
      <c r="T782" s="100"/>
      <c r="V782" s="99"/>
      <c r="W782" s="99"/>
      <c r="Y782" s="47"/>
    </row>
    <row r="783" spans="17:25" ht="15.75" customHeight="1" x14ac:dyDescent="0.25">
      <c r="Q783" s="99"/>
      <c r="R783" s="99"/>
      <c r="S783" s="99"/>
      <c r="T783" s="100"/>
      <c r="V783" s="99"/>
      <c r="W783" s="99"/>
      <c r="Y783" s="47"/>
    </row>
    <row r="784" spans="17:25" ht="15.75" customHeight="1" x14ac:dyDescent="0.25">
      <c r="Q784" s="99"/>
      <c r="R784" s="99"/>
      <c r="S784" s="99"/>
      <c r="T784" s="100"/>
      <c r="V784" s="99"/>
      <c r="W784" s="99"/>
      <c r="Y784" s="47"/>
    </row>
    <row r="785" spans="17:25" ht="15.75" customHeight="1" x14ac:dyDescent="0.25">
      <c r="Q785" s="99"/>
      <c r="R785" s="99"/>
      <c r="S785" s="99"/>
      <c r="T785" s="100"/>
      <c r="V785" s="99"/>
      <c r="W785" s="99"/>
      <c r="Y785" s="47"/>
    </row>
    <row r="786" spans="17:25" ht="15.75" customHeight="1" x14ac:dyDescent="0.25">
      <c r="Q786" s="99"/>
      <c r="R786" s="99"/>
      <c r="S786" s="99"/>
      <c r="T786" s="100"/>
      <c r="V786" s="99"/>
      <c r="W786" s="99"/>
      <c r="Y786" s="47"/>
    </row>
    <row r="787" spans="17:25" ht="15.75" customHeight="1" x14ac:dyDescent="0.25">
      <c r="Q787" s="99"/>
      <c r="R787" s="99"/>
      <c r="S787" s="99"/>
      <c r="T787" s="100"/>
      <c r="V787" s="99"/>
      <c r="W787" s="99"/>
      <c r="Y787" s="47"/>
    </row>
    <row r="788" spans="17:25" ht="15.75" customHeight="1" x14ac:dyDescent="0.25">
      <c r="Q788" s="99"/>
      <c r="R788" s="99"/>
      <c r="S788" s="99"/>
      <c r="T788" s="100"/>
      <c r="V788" s="99"/>
      <c r="W788" s="99"/>
      <c r="Y788" s="47"/>
    </row>
    <row r="789" spans="17:25" ht="15.75" customHeight="1" x14ac:dyDescent="0.25">
      <c r="Q789" s="99"/>
      <c r="R789" s="99"/>
      <c r="S789" s="99"/>
      <c r="T789" s="100"/>
      <c r="V789" s="99"/>
      <c r="W789" s="99"/>
      <c r="Y789" s="47"/>
    </row>
    <row r="790" spans="17:25" ht="15.75" customHeight="1" x14ac:dyDescent="0.25">
      <c r="Q790" s="99"/>
      <c r="R790" s="99"/>
      <c r="S790" s="99"/>
      <c r="T790" s="100"/>
      <c r="V790" s="99"/>
      <c r="W790" s="99"/>
      <c r="Y790" s="47"/>
    </row>
    <row r="791" spans="17:25" ht="15.75" customHeight="1" x14ac:dyDescent="0.25">
      <c r="Q791" s="99"/>
      <c r="R791" s="99"/>
      <c r="S791" s="99"/>
      <c r="T791" s="100"/>
      <c r="V791" s="99"/>
      <c r="W791" s="99"/>
      <c r="Y791" s="47"/>
    </row>
    <row r="792" spans="17:25" ht="15.75" customHeight="1" x14ac:dyDescent="0.25">
      <c r="Q792" s="99"/>
      <c r="R792" s="99"/>
      <c r="S792" s="99"/>
      <c r="T792" s="100"/>
      <c r="V792" s="99"/>
      <c r="W792" s="99"/>
      <c r="Y792" s="47"/>
    </row>
    <row r="793" spans="17:25" ht="15.75" customHeight="1" x14ac:dyDescent="0.25">
      <c r="Q793" s="99"/>
      <c r="R793" s="99"/>
      <c r="S793" s="99"/>
      <c r="T793" s="100"/>
      <c r="V793" s="99"/>
      <c r="W793" s="99"/>
      <c r="Y793" s="47"/>
    </row>
    <row r="794" spans="17:25" ht="15.75" customHeight="1" x14ac:dyDescent="0.25">
      <c r="Q794" s="99"/>
      <c r="R794" s="99"/>
      <c r="S794" s="99"/>
      <c r="T794" s="100"/>
      <c r="V794" s="99"/>
      <c r="W794" s="99"/>
      <c r="Y794" s="47"/>
    </row>
    <row r="795" spans="17:25" ht="15.75" customHeight="1" x14ac:dyDescent="0.25">
      <c r="Q795" s="99"/>
      <c r="R795" s="99"/>
      <c r="S795" s="99"/>
      <c r="T795" s="100"/>
      <c r="V795" s="99"/>
      <c r="W795" s="99"/>
      <c r="Y795" s="47"/>
    </row>
    <row r="796" spans="17:25" ht="15.75" customHeight="1" x14ac:dyDescent="0.25">
      <c r="Q796" s="99"/>
      <c r="R796" s="99"/>
      <c r="S796" s="99"/>
      <c r="T796" s="100"/>
      <c r="V796" s="99"/>
      <c r="W796" s="99"/>
      <c r="Y796" s="47"/>
    </row>
    <row r="797" spans="17:25" ht="15.75" customHeight="1" x14ac:dyDescent="0.25">
      <c r="Q797" s="99"/>
      <c r="R797" s="99"/>
      <c r="S797" s="99"/>
      <c r="T797" s="100"/>
      <c r="V797" s="99"/>
      <c r="W797" s="99"/>
      <c r="Y797" s="47"/>
    </row>
    <row r="798" spans="17:25" ht="15.75" customHeight="1" x14ac:dyDescent="0.25">
      <c r="Q798" s="99"/>
      <c r="R798" s="99"/>
      <c r="S798" s="99"/>
      <c r="T798" s="100"/>
      <c r="V798" s="99"/>
      <c r="W798" s="99"/>
      <c r="Y798" s="47"/>
    </row>
    <row r="799" spans="17:25" ht="15.75" customHeight="1" x14ac:dyDescent="0.25">
      <c r="Q799" s="99"/>
      <c r="R799" s="99"/>
      <c r="S799" s="99"/>
      <c r="T799" s="100"/>
      <c r="V799" s="99"/>
      <c r="W799" s="99"/>
      <c r="Y799" s="47"/>
    </row>
    <row r="800" spans="17:25" ht="15.75" customHeight="1" x14ac:dyDescent="0.25">
      <c r="Q800" s="99"/>
      <c r="R800" s="99"/>
      <c r="S800" s="99"/>
      <c r="T800" s="100"/>
      <c r="V800" s="99"/>
      <c r="W800" s="99"/>
      <c r="Y800" s="47"/>
    </row>
    <row r="801" spans="17:25" ht="15.75" customHeight="1" x14ac:dyDescent="0.25">
      <c r="Q801" s="99"/>
      <c r="R801" s="99"/>
      <c r="S801" s="99"/>
      <c r="T801" s="100"/>
      <c r="V801" s="99"/>
      <c r="W801" s="99"/>
      <c r="Y801" s="47"/>
    </row>
    <row r="802" spans="17:25" ht="15.75" customHeight="1" x14ac:dyDescent="0.25">
      <c r="Q802" s="99"/>
      <c r="R802" s="99"/>
      <c r="S802" s="99"/>
      <c r="T802" s="100"/>
      <c r="V802" s="99"/>
      <c r="W802" s="99"/>
      <c r="Y802" s="47"/>
    </row>
    <row r="803" spans="17:25" ht="15.75" customHeight="1" x14ac:dyDescent="0.25">
      <c r="Q803" s="99"/>
      <c r="R803" s="99"/>
      <c r="S803" s="99"/>
      <c r="T803" s="100"/>
      <c r="V803" s="99"/>
      <c r="W803" s="99"/>
      <c r="Y803" s="47"/>
    </row>
    <row r="804" spans="17:25" ht="15.75" customHeight="1" x14ac:dyDescent="0.25">
      <c r="Q804" s="99"/>
      <c r="R804" s="99"/>
      <c r="S804" s="99"/>
      <c r="T804" s="100"/>
      <c r="V804" s="99"/>
      <c r="W804" s="99"/>
      <c r="Y804" s="47"/>
    </row>
    <row r="805" spans="17:25" ht="15.75" customHeight="1" x14ac:dyDescent="0.25">
      <c r="Q805" s="99"/>
      <c r="R805" s="99"/>
      <c r="S805" s="99"/>
      <c r="T805" s="100"/>
      <c r="V805" s="99"/>
      <c r="W805" s="99"/>
      <c r="Y805" s="47"/>
    </row>
    <row r="806" spans="17:25" ht="15.75" customHeight="1" x14ac:dyDescent="0.25">
      <c r="Q806" s="99"/>
      <c r="R806" s="99"/>
      <c r="S806" s="99"/>
      <c r="T806" s="100"/>
      <c r="V806" s="99"/>
      <c r="W806" s="99"/>
      <c r="Y806" s="47"/>
    </row>
    <row r="807" spans="17:25" ht="15.75" customHeight="1" x14ac:dyDescent="0.25">
      <c r="Q807" s="99"/>
      <c r="R807" s="99"/>
      <c r="S807" s="99"/>
      <c r="T807" s="100"/>
      <c r="V807" s="99"/>
      <c r="W807" s="99"/>
      <c r="Y807" s="47"/>
    </row>
    <row r="808" spans="17:25" ht="15.75" customHeight="1" x14ac:dyDescent="0.25">
      <c r="Q808" s="99"/>
      <c r="R808" s="99"/>
      <c r="S808" s="99"/>
      <c r="T808" s="100"/>
      <c r="V808" s="99"/>
      <c r="W808" s="99"/>
      <c r="Y808" s="47"/>
    </row>
    <row r="809" spans="17:25" ht="15.75" customHeight="1" x14ac:dyDescent="0.25">
      <c r="Q809" s="99"/>
      <c r="R809" s="99"/>
      <c r="S809" s="99"/>
      <c r="T809" s="100"/>
      <c r="V809" s="99"/>
      <c r="W809" s="99"/>
      <c r="Y809" s="47"/>
    </row>
    <row r="810" spans="17:25" ht="15.75" customHeight="1" x14ac:dyDescent="0.25">
      <c r="Q810" s="99"/>
      <c r="R810" s="99"/>
      <c r="S810" s="99"/>
      <c r="T810" s="100"/>
      <c r="V810" s="99"/>
      <c r="W810" s="99"/>
      <c r="Y810" s="47"/>
    </row>
    <row r="811" spans="17:25" ht="15.75" customHeight="1" x14ac:dyDescent="0.25">
      <c r="Q811" s="99"/>
      <c r="R811" s="99"/>
      <c r="S811" s="99"/>
      <c r="T811" s="100"/>
      <c r="V811" s="99"/>
      <c r="W811" s="99"/>
      <c r="Y811" s="47"/>
    </row>
    <row r="812" spans="17:25" ht="15.75" customHeight="1" x14ac:dyDescent="0.25">
      <c r="Q812" s="99"/>
      <c r="R812" s="99"/>
      <c r="S812" s="99"/>
      <c r="T812" s="100"/>
      <c r="V812" s="99"/>
      <c r="W812" s="99"/>
      <c r="Y812" s="47"/>
    </row>
    <row r="813" spans="17:25" ht="15.75" customHeight="1" x14ac:dyDescent="0.25">
      <c r="Q813" s="99"/>
      <c r="R813" s="99"/>
      <c r="S813" s="99"/>
      <c r="T813" s="100"/>
      <c r="V813" s="99"/>
      <c r="W813" s="99"/>
      <c r="Y813" s="47"/>
    </row>
    <row r="814" spans="17:25" ht="15.75" customHeight="1" x14ac:dyDescent="0.25">
      <c r="Q814" s="99"/>
      <c r="R814" s="99"/>
      <c r="S814" s="99"/>
      <c r="T814" s="100"/>
      <c r="V814" s="99"/>
      <c r="W814" s="99"/>
      <c r="Y814" s="47"/>
    </row>
    <row r="815" spans="17:25" ht="15.75" customHeight="1" x14ac:dyDescent="0.25">
      <c r="Q815" s="99"/>
      <c r="R815" s="99"/>
      <c r="S815" s="99"/>
      <c r="T815" s="100"/>
      <c r="V815" s="99"/>
      <c r="W815" s="99"/>
      <c r="Y815" s="47"/>
    </row>
    <row r="816" spans="17:25" ht="15.75" customHeight="1" x14ac:dyDescent="0.25">
      <c r="Q816" s="99"/>
      <c r="R816" s="99"/>
      <c r="S816" s="99"/>
      <c r="T816" s="100"/>
      <c r="V816" s="99"/>
      <c r="W816" s="99"/>
      <c r="Y816" s="47"/>
    </row>
    <row r="817" spans="17:25" ht="15.75" customHeight="1" x14ac:dyDescent="0.25">
      <c r="Q817" s="99"/>
      <c r="R817" s="99"/>
      <c r="S817" s="99"/>
      <c r="T817" s="100"/>
      <c r="V817" s="99"/>
      <c r="W817" s="99"/>
      <c r="Y817" s="47"/>
    </row>
    <row r="818" spans="17:25" ht="15.75" customHeight="1" x14ac:dyDescent="0.25">
      <c r="Q818" s="99"/>
      <c r="R818" s="99"/>
      <c r="S818" s="99"/>
      <c r="T818" s="100"/>
      <c r="V818" s="99"/>
      <c r="W818" s="99"/>
      <c r="Y818" s="47"/>
    </row>
    <row r="819" spans="17:25" ht="15.75" customHeight="1" x14ac:dyDescent="0.25">
      <c r="Q819" s="99"/>
      <c r="R819" s="99"/>
      <c r="S819" s="99"/>
      <c r="T819" s="100"/>
      <c r="V819" s="99"/>
      <c r="W819" s="99"/>
      <c r="Y819" s="47"/>
    </row>
    <row r="820" spans="17:25" ht="15.75" customHeight="1" x14ac:dyDescent="0.25">
      <c r="Q820" s="99"/>
      <c r="R820" s="99"/>
      <c r="S820" s="99"/>
      <c r="T820" s="100"/>
      <c r="V820" s="99"/>
      <c r="W820" s="99"/>
      <c r="Y820" s="47"/>
    </row>
    <row r="821" spans="17:25" ht="15.75" customHeight="1" x14ac:dyDescent="0.25">
      <c r="Q821" s="99"/>
      <c r="R821" s="99"/>
      <c r="S821" s="99"/>
      <c r="T821" s="100"/>
      <c r="V821" s="99"/>
      <c r="W821" s="99"/>
      <c r="Y821" s="47"/>
    </row>
    <row r="822" spans="17:25" ht="15.75" customHeight="1" x14ac:dyDescent="0.25">
      <c r="Q822" s="99"/>
      <c r="R822" s="99"/>
      <c r="S822" s="99"/>
      <c r="T822" s="100"/>
      <c r="V822" s="99"/>
      <c r="W822" s="99"/>
      <c r="Y822" s="47"/>
    </row>
    <row r="823" spans="17:25" ht="15.75" customHeight="1" x14ac:dyDescent="0.25">
      <c r="Q823" s="99"/>
      <c r="R823" s="99"/>
      <c r="S823" s="99"/>
      <c r="T823" s="100"/>
      <c r="V823" s="99"/>
      <c r="W823" s="99"/>
      <c r="Y823" s="47"/>
    </row>
    <row r="824" spans="17:25" ht="15.75" customHeight="1" x14ac:dyDescent="0.25">
      <c r="Q824" s="99"/>
      <c r="R824" s="99"/>
      <c r="S824" s="99"/>
      <c r="T824" s="100"/>
      <c r="V824" s="99"/>
      <c r="W824" s="99"/>
      <c r="Y824" s="47"/>
    </row>
    <row r="825" spans="17:25" ht="15.75" customHeight="1" x14ac:dyDescent="0.25">
      <c r="Q825" s="99"/>
      <c r="R825" s="99"/>
      <c r="S825" s="99"/>
      <c r="T825" s="100"/>
      <c r="V825" s="99"/>
      <c r="W825" s="99"/>
      <c r="Y825" s="47"/>
    </row>
    <row r="826" spans="17:25" ht="15.75" customHeight="1" x14ac:dyDescent="0.25">
      <c r="Q826" s="99"/>
      <c r="R826" s="99"/>
      <c r="S826" s="99"/>
      <c r="T826" s="100"/>
      <c r="V826" s="99"/>
      <c r="W826" s="99"/>
      <c r="Y826" s="47"/>
    </row>
    <row r="827" spans="17:25" ht="15.75" customHeight="1" x14ac:dyDescent="0.25">
      <c r="Q827" s="99"/>
      <c r="R827" s="99"/>
      <c r="S827" s="99"/>
      <c r="T827" s="100"/>
      <c r="V827" s="99"/>
      <c r="W827" s="99"/>
      <c r="Y827" s="47"/>
    </row>
    <row r="828" spans="17:25" ht="15.75" customHeight="1" x14ac:dyDescent="0.25">
      <c r="Q828" s="99"/>
      <c r="R828" s="99"/>
      <c r="S828" s="99"/>
      <c r="T828" s="100"/>
      <c r="V828" s="99"/>
      <c r="W828" s="99"/>
      <c r="Y828" s="47"/>
    </row>
    <row r="829" spans="17:25" ht="15.75" customHeight="1" x14ac:dyDescent="0.25">
      <c r="Q829" s="99"/>
      <c r="R829" s="99"/>
      <c r="S829" s="99"/>
      <c r="T829" s="100"/>
      <c r="V829" s="99"/>
      <c r="W829" s="99"/>
      <c r="Y829" s="47"/>
    </row>
    <row r="830" spans="17:25" ht="15.75" customHeight="1" x14ac:dyDescent="0.25">
      <c r="Q830" s="99"/>
      <c r="R830" s="99"/>
      <c r="S830" s="99"/>
      <c r="T830" s="100"/>
      <c r="V830" s="99"/>
      <c r="W830" s="99"/>
      <c r="Y830" s="47"/>
    </row>
    <row r="831" spans="17:25" ht="15.75" customHeight="1" x14ac:dyDescent="0.25">
      <c r="Q831" s="99"/>
      <c r="R831" s="99"/>
      <c r="S831" s="99"/>
      <c r="T831" s="100"/>
      <c r="V831" s="99"/>
      <c r="W831" s="99"/>
      <c r="Y831" s="47"/>
    </row>
    <row r="832" spans="17:25" ht="15.75" customHeight="1" x14ac:dyDescent="0.25">
      <c r="Q832" s="99"/>
      <c r="R832" s="99"/>
      <c r="S832" s="99"/>
      <c r="T832" s="100"/>
      <c r="V832" s="99"/>
      <c r="W832" s="99"/>
      <c r="Y832" s="47"/>
    </row>
    <row r="833" spans="17:25" ht="15.75" customHeight="1" x14ac:dyDescent="0.25">
      <c r="Q833" s="99"/>
      <c r="R833" s="99"/>
      <c r="S833" s="99"/>
      <c r="T833" s="100"/>
      <c r="V833" s="99"/>
      <c r="W833" s="99"/>
      <c r="Y833" s="47"/>
    </row>
    <row r="834" spans="17:25" ht="15.75" customHeight="1" x14ac:dyDescent="0.25">
      <c r="Q834" s="99"/>
      <c r="R834" s="99"/>
      <c r="S834" s="99"/>
      <c r="T834" s="100"/>
      <c r="V834" s="99"/>
      <c r="W834" s="99"/>
      <c r="Y834" s="47"/>
    </row>
    <row r="835" spans="17:25" ht="15.75" customHeight="1" x14ac:dyDescent="0.25">
      <c r="Q835" s="99"/>
      <c r="R835" s="99"/>
      <c r="S835" s="99"/>
      <c r="T835" s="100"/>
      <c r="V835" s="99"/>
      <c r="W835" s="99"/>
      <c r="Y835" s="47"/>
    </row>
    <row r="836" spans="17:25" ht="15.75" customHeight="1" x14ac:dyDescent="0.25">
      <c r="Q836" s="99"/>
      <c r="R836" s="99"/>
      <c r="S836" s="99"/>
      <c r="T836" s="100"/>
      <c r="V836" s="99"/>
      <c r="W836" s="99"/>
      <c r="Y836" s="47"/>
    </row>
    <row r="837" spans="17:25" ht="15.75" customHeight="1" x14ac:dyDescent="0.25">
      <c r="Q837" s="99"/>
      <c r="R837" s="99"/>
      <c r="S837" s="99"/>
      <c r="T837" s="100"/>
      <c r="V837" s="99"/>
      <c r="W837" s="99"/>
      <c r="Y837" s="47"/>
    </row>
    <row r="838" spans="17:25" ht="15.75" customHeight="1" x14ac:dyDescent="0.25">
      <c r="Q838" s="99"/>
      <c r="R838" s="99"/>
      <c r="S838" s="99"/>
      <c r="T838" s="100"/>
      <c r="V838" s="99"/>
      <c r="W838" s="99"/>
      <c r="Y838" s="47"/>
    </row>
    <row r="839" spans="17:25" ht="15.75" customHeight="1" x14ac:dyDescent="0.25">
      <c r="Q839" s="99"/>
      <c r="R839" s="99"/>
      <c r="S839" s="99"/>
      <c r="T839" s="100"/>
      <c r="V839" s="99"/>
      <c r="W839" s="99"/>
      <c r="Y839" s="47"/>
    </row>
    <row r="840" spans="17:25" ht="15.75" customHeight="1" x14ac:dyDescent="0.25">
      <c r="Q840" s="99"/>
      <c r="R840" s="99"/>
      <c r="S840" s="99"/>
      <c r="T840" s="100"/>
      <c r="V840" s="99"/>
      <c r="W840" s="99"/>
      <c r="Y840" s="47"/>
    </row>
    <row r="841" spans="17:25" ht="15.75" customHeight="1" x14ac:dyDescent="0.25">
      <c r="Q841" s="99"/>
      <c r="R841" s="99"/>
      <c r="S841" s="99"/>
      <c r="T841" s="100"/>
      <c r="V841" s="99"/>
      <c r="W841" s="99"/>
      <c r="Y841" s="47"/>
    </row>
    <row r="842" spans="17:25" ht="15.75" customHeight="1" x14ac:dyDescent="0.25">
      <c r="Q842" s="99"/>
      <c r="R842" s="99"/>
      <c r="S842" s="99"/>
      <c r="T842" s="100"/>
      <c r="V842" s="99"/>
      <c r="W842" s="99"/>
      <c r="Y842" s="47"/>
    </row>
    <row r="843" spans="17:25" ht="15.75" customHeight="1" x14ac:dyDescent="0.25">
      <c r="Q843" s="99"/>
      <c r="R843" s="99"/>
      <c r="S843" s="99"/>
      <c r="T843" s="100"/>
      <c r="V843" s="99"/>
      <c r="W843" s="99"/>
      <c r="Y843" s="47"/>
    </row>
    <row r="844" spans="17:25" ht="15.75" customHeight="1" x14ac:dyDescent="0.25">
      <c r="Q844" s="99"/>
      <c r="R844" s="99"/>
      <c r="S844" s="99"/>
      <c r="T844" s="100"/>
      <c r="V844" s="99"/>
      <c r="W844" s="99"/>
      <c r="Y844" s="47"/>
    </row>
    <row r="845" spans="17:25" ht="15.75" customHeight="1" x14ac:dyDescent="0.25">
      <c r="Q845" s="99"/>
      <c r="R845" s="99"/>
      <c r="S845" s="99"/>
      <c r="T845" s="100"/>
      <c r="V845" s="99"/>
      <c r="W845" s="99"/>
      <c r="Y845" s="47"/>
    </row>
    <row r="846" spans="17:25" ht="15.75" customHeight="1" x14ac:dyDescent="0.25">
      <c r="Q846" s="99"/>
      <c r="R846" s="99"/>
      <c r="S846" s="99"/>
      <c r="T846" s="100"/>
      <c r="V846" s="99"/>
      <c r="W846" s="99"/>
      <c r="Y846" s="47"/>
    </row>
    <row r="847" spans="17:25" ht="15.75" customHeight="1" x14ac:dyDescent="0.25">
      <c r="Q847" s="99"/>
      <c r="R847" s="99"/>
      <c r="S847" s="99"/>
      <c r="T847" s="100"/>
      <c r="V847" s="99"/>
      <c r="W847" s="99"/>
      <c r="Y847" s="47"/>
    </row>
    <row r="848" spans="17:25" ht="15.75" customHeight="1" x14ac:dyDescent="0.25">
      <c r="Q848" s="99"/>
      <c r="R848" s="99"/>
      <c r="S848" s="99"/>
      <c r="T848" s="100"/>
      <c r="V848" s="99"/>
      <c r="W848" s="99"/>
      <c r="Y848" s="47"/>
    </row>
    <row r="849" spans="17:25" ht="15.75" customHeight="1" x14ac:dyDescent="0.25">
      <c r="Q849" s="99"/>
      <c r="R849" s="99"/>
      <c r="S849" s="99"/>
      <c r="T849" s="100"/>
      <c r="V849" s="99"/>
      <c r="W849" s="99"/>
      <c r="Y849" s="47"/>
    </row>
    <row r="850" spans="17:25" ht="15.75" customHeight="1" x14ac:dyDescent="0.25">
      <c r="Q850" s="99"/>
      <c r="R850" s="99"/>
      <c r="S850" s="99"/>
      <c r="T850" s="100"/>
      <c r="V850" s="99"/>
      <c r="W850" s="99"/>
      <c r="Y850" s="47"/>
    </row>
    <row r="851" spans="17:25" ht="15.75" customHeight="1" x14ac:dyDescent="0.25">
      <c r="Q851" s="99"/>
      <c r="R851" s="99"/>
      <c r="S851" s="99"/>
      <c r="T851" s="100"/>
      <c r="V851" s="99"/>
      <c r="W851" s="99"/>
      <c r="Y851" s="47"/>
    </row>
    <row r="852" spans="17:25" ht="15.75" customHeight="1" x14ac:dyDescent="0.25">
      <c r="Q852" s="99"/>
      <c r="R852" s="99"/>
      <c r="S852" s="99"/>
      <c r="T852" s="100"/>
      <c r="V852" s="99"/>
      <c r="W852" s="99"/>
      <c r="Y852" s="47"/>
    </row>
    <row r="853" spans="17:25" ht="15.75" customHeight="1" x14ac:dyDescent="0.25">
      <c r="Q853" s="99"/>
      <c r="R853" s="99"/>
      <c r="S853" s="99"/>
      <c r="T853" s="100"/>
      <c r="V853" s="99"/>
      <c r="W853" s="99"/>
      <c r="Y853" s="47"/>
    </row>
    <row r="854" spans="17:25" ht="15.75" customHeight="1" x14ac:dyDescent="0.25">
      <c r="Q854" s="99"/>
      <c r="R854" s="99"/>
      <c r="S854" s="99"/>
      <c r="T854" s="100"/>
      <c r="V854" s="99"/>
      <c r="W854" s="99"/>
      <c r="Y854" s="47"/>
    </row>
    <row r="855" spans="17:25" ht="15.75" customHeight="1" x14ac:dyDescent="0.25">
      <c r="Q855" s="99"/>
      <c r="R855" s="99"/>
      <c r="S855" s="99"/>
      <c r="T855" s="100"/>
      <c r="V855" s="99"/>
      <c r="W855" s="99"/>
      <c r="Y855" s="47"/>
    </row>
    <row r="856" spans="17:25" ht="15.75" customHeight="1" x14ac:dyDescent="0.25">
      <c r="Q856" s="99"/>
      <c r="R856" s="99"/>
      <c r="S856" s="99"/>
      <c r="T856" s="100"/>
      <c r="V856" s="99"/>
      <c r="W856" s="99"/>
      <c r="Y856" s="47"/>
    </row>
    <row r="857" spans="17:25" ht="15.75" customHeight="1" x14ac:dyDescent="0.25">
      <c r="Q857" s="99"/>
      <c r="R857" s="99"/>
      <c r="S857" s="99"/>
      <c r="T857" s="100"/>
      <c r="V857" s="99"/>
      <c r="W857" s="99"/>
      <c r="Y857" s="47"/>
    </row>
    <row r="858" spans="17:25" ht="15.75" customHeight="1" x14ac:dyDescent="0.25">
      <c r="Q858" s="99"/>
      <c r="R858" s="99"/>
      <c r="S858" s="99"/>
      <c r="T858" s="100"/>
      <c r="V858" s="99"/>
      <c r="W858" s="99"/>
      <c r="Y858" s="47"/>
    </row>
    <row r="859" spans="17:25" ht="15.75" customHeight="1" x14ac:dyDescent="0.25">
      <c r="Q859" s="99"/>
      <c r="R859" s="99"/>
      <c r="S859" s="99"/>
      <c r="T859" s="100"/>
      <c r="V859" s="99"/>
      <c r="W859" s="99"/>
      <c r="Y859" s="47"/>
    </row>
    <row r="860" spans="17:25" ht="15.75" customHeight="1" x14ac:dyDescent="0.25">
      <c r="Q860" s="99"/>
      <c r="R860" s="99"/>
      <c r="S860" s="99"/>
      <c r="T860" s="100"/>
      <c r="V860" s="99"/>
      <c r="W860" s="99"/>
      <c r="Y860" s="47"/>
    </row>
    <row r="861" spans="17:25" ht="15.75" customHeight="1" x14ac:dyDescent="0.25">
      <c r="Q861" s="99"/>
      <c r="R861" s="99"/>
      <c r="S861" s="99"/>
      <c r="T861" s="100"/>
      <c r="V861" s="99"/>
      <c r="W861" s="99"/>
      <c r="Y861" s="47"/>
    </row>
    <row r="862" spans="17:25" ht="15.75" customHeight="1" x14ac:dyDescent="0.25">
      <c r="Q862" s="99"/>
      <c r="R862" s="99"/>
      <c r="S862" s="99"/>
      <c r="T862" s="100"/>
      <c r="V862" s="99"/>
      <c r="W862" s="99"/>
      <c r="Y862" s="47"/>
    </row>
    <row r="863" spans="17:25" ht="15.75" customHeight="1" x14ac:dyDescent="0.25">
      <c r="Q863" s="99"/>
      <c r="R863" s="99"/>
      <c r="S863" s="99"/>
      <c r="T863" s="100"/>
      <c r="V863" s="99"/>
      <c r="W863" s="99"/>
      <c r="Y863" s="47"/>
    </row>
    <row r="864" spans="17:25" ht="15.75" customHeight="1" x14ac:dyDescent="0.25">
      <c r="Q864" s="99"/>
      <c r="R864" s="99"/>
      <c r="S864" s="99"/>
      <c r="T864" s="100"/>
      <c r="V864" s="99"/>
      <c r="W864" s="99"/>
      <c r="Y864" s="47"/>
    </row>
    <row r="865" spans="17:25" ht="15.75" customHeight="1" x14ac:dyDescent="0.25">
      <c r="Q865" s="99"/>
      <c r="R865" s="99"/>
      <c r="S865" s="99"/>
      <c r="T865" s="100"/>
      <c r="V865" s="99"/>
      <c r="W865" s="99"/>
      <c r="Y865" s="47"/>
    </row>
    <row r="866" spans="17:25" ht="15.75" customHeight="1" x14ac:dyDescent="0.25">
      <c r="Q866" s="99"/>
      <c r="R866" s="99"/>
      <c r="S866" s="99"/>
      <c r="T866" s="100"/>
      <c r="V866" s="99"/>
      <c r="W866" s="99"/>
      <c r="Y866" s="47"/>
    </row>
    <row r="867" spans="17:25" ht="15.75" customHeight="1" x14ac:dyDescent="0.25">
      <c r="Q867" s="99"/>
      <c r="R867" s="99"/>
      <c r="S867" s="99"/>
      <c r="T867" s="100"/>
      <c r="V867" s="99"/>
      <c r="W867" s="99"/>
      <c r="Y867" s="47"/>
    </row>
    <row r="868" spans="17:25" ht="15.75" customHeight="1" x14ac:dyDescent="0.25">
      <c r="Q868" s="99"/>
      <c r="R868" s="99"/>
      <c r="S868" s="99"/>
      <c r="T868" s="100"/>
      <c r="V868" s="99"/>
      <c r="W868" s="99"/>
      <c r="Y868" s="47"/>
    </row>
    <row r="869" spans="17:25" ht="15.75" customHeight="1" x14ac:dyDescent="0.25">
      <c r="Q869" s="99"/>
      <c r="R869" s="99"/>
      <c r="S869" s="99"/>
      <c r="T869" s="100"/>
      <c r="V869" s="99"/>
      <c r="W869" s="99"/>
      <c r="Y869" s="47"/>
    </row>
    <row r="870" spans="17:25" ht="15.75" customHeight="1" x14ac:dyDescent="0.25">
      <c r="Q870" s="99"/>
      <c r="R870" s="99"/>
      <c r="S870" s="99"/>
      <c r="T870" s="100"/>
      <c r="V870" s="99"/>
      <c r="W870" s="99"/>
      <c r="Y870" s="47"/>
    </row>
    <row r="871" spans="17:25" ht="15.75" customHeight="1" x14ac:dyDescent="0.25">
      <c r="Q871" s="99"/>
      <c r="R871" s="99"/>
      <c r="S871" s="99"/>
      <c r="T871" s="100"/>
      <c r="V871" s="99"/>
      <c r="W871" s="99"/>
      <c r="Y871" s="47"/>
    </row>
    <row r="872" spans="17:25" ht="15.75" customHeight="1" x14ac:dyDescent="0.25">
      <c r="Q872" s="99"/>
      <c r="R872" s="99"/>
      <c r="S872" s="99"/>
      <c r="T872" s="100"/>
      <c r="V872" s="99"/>
      <c r="W872" s="99"/>
      <c r="Y872" s="47"/>
    </row>
    <row r="873" spans="17:25" ht="15.75" customHeight="1" x14ac:dyDescent="0.25">
      <c r="Q873" s="99"/>
      <c r="R873" s="99"/>
      <c r="S873" s="99"/>
      <c r="T873" s="100"/>
      <c r="V873" s="99"/>
      <c r="W873" s="99"/>
      <c r="Y873" s="47"/>
    </row>
    <row r="874" spans="17:25" ht="15.75" customHeight="1" x14ac:dyDescent="0.25">
      <c r="Q874" s="99"/>
      <c r="R874" s="99"/>
      <c r="S874" s="99"/>
      <c r="T874" s="100"/>
      <c r="V874" s="99"/>
      <c r="W874" s="99"/>
      <c r="Y874" s="47"/>
    </row>
    <row r="875" spans="17:25" ht="15.75" customHeight="1" x14ac:dyDescent="0.25">
      <c r="Q875" s="99"/>
      <c r="R875" s="99"/>
      <c r="S875" s="99"/>
      <c r="T875" s="100"/>
      <c r="V875" s="99"/>
      <c r="W875" s="99"/>
      <c r="Y875" s="47"/>
    </row>
    <row r="876" spans="17:25" ht="15.75" customHeight="1" x14ac:dyDescent="0.25">
      <c r="Q876" s="99"/>
      <c r="R876" s="99"/>
      <c r="S876" s="99"/>
      <c r="T876" s="100"/>
      <c r="V876" s="99"/>
      <c r="W876" s="99"/>
      <c r="Y876" s="47"/>
    </row>
    <row r="877" spans="17:25" ht="15.75" customHeight="1" x14ac:dyDescent="0.25">
      <c r="Q877" s="99"/>
      <c r="R877" s="99"/>
      <c r="S877" s="99"/>
      <c r="T877" s="100"/>
      <c r="V877" s="99"/>
      <c r="W877" s="99"/>
      <c r="Y877" s="47"/>
    </row>
    <row r="878" spans="17:25" ht="15.75" customHeight="1" x14ac:dyDescent="0.25">
      <c r="Q878" s="99"/>
      <c r="R878" s="99"/>
      <c r="S878" s="99"/>
      <c r="T878" s="100"/>
      <c r="V878" s="99"/>
      <c r="W878" s="99"/>
      <c r="Y878" s="47"/>
    </row>
    <row r="879" spans="17:25" ht="15.75" customHeight="1" x14ac:dyDescent="0.25">
      <c r="Q879" s="99"/>
      <c r="R879" s="99"/>
      <c r="S879" s="99"/>
      <c r="T879" s="100"/>
      <c r="V879" s="99"/>
      <c r="W879" s="99"/>
      <c r="Y879" s="47"/>
    </row>
    <row r="880" spans="17:25" ht="15.75" customHeight="1" x14ac:dyDescent="0.25">
      <c r="Q880" s="99"/>
      <c r="R880" s="99"/>
      <c r="S880" s="99"/>
      <c r="T880" s="100"/>
      <c r="V880" s="99"/>
      <c r="W880" s="99"/>
      <c r="Y880" s="47"/>
    </row>
    <row r="881" spans="17:25" ht="15.75" customHeight="1" x14ac:dyDescent="0.25">
      <c r="Q881" s="99"/>
      <c r="R881" s="99"/>
      <c r="S881" s="99"/>
      <c r="T881" s="100"/>
      <c r="V881" s="99"/>
      <c r="W881" s="99"/>
      <c r="Y881" s="47"/>
    </row>
    <row r="882" spans="17:25" ht="15.75" customHeight="1" x14ac:dyDescent="0.25">
      <c r="Q882" s="99"/>
      <c r="R882" s="99"/>
      <c r="S882" s="99"/>
      <c r="T882" s="100"/>
      <c r="V882" s="99"/>
      <c r="W882" s="99"/>
      <c r="Y882" s="47"/>
    </row>
    <row r="883" spans="17:25" ht="15.75" customHeight="1" x14ac:dyDescent="0.25">
      <c r="Q883" s="99"/>
      <c r="R883" s="99"/>
      <c r="S883" s="99"/>
      <c r="T883" s="100"/>
      <c r="V883" s="99"/>
      <c r="W883" s="99"/>
      <c r="Y883" s="47"/>
    </row>
    <row r="884" spans="17:25" ht="15.75" customHeight="1" x14ac:dyDescent="0.25">
      <c r="Q884" s="99"/>
      <c r="R884" s="99"/>
      <c r="S884" s="99"/>
      <c r="T884" s="100"/>
      <c r="V884" s="99"/>
      <c r="W884" s="99"/>
      <c r="Y884" s="47"/>
    </row>
    <row r="885" spans="17:25" ht="15.75" customHeight="1" x14ac:dyDescent="0.25">
      <c r="Q885" s="99"/>
      <c r="R885" s="99"/>
      <c r="S885" s="99"/>
      <c r="T885" s="100"/>
      <c r="V885" s="99"/>
      <c r="W885" s="99"/>
      <c r="Y885" s="47"/>
    </row>
    <row r="886" spans="17:25" ht="15.75" customHeight="1" x14ac:dyDescent="0.25">
      <c r="Q886" s="99"/>
      <c r="R886" s="99"/>
      <c r="S886" s="99"/>
      <c r="T886" s="100"/>
      <c r="V886" s="99"/>
      <c r="W886" s="99"/>
      <c r="Y886" s="47"/>
    </row>
    <row r="887" spans="17:25" ht="15.75" customHeight="1" x14ac:dyDescent="0.25">
      <c r="Q887" s="99"/>
      <c r="R887" s="99"/>
      <c r="S887" s="99"/>
      <c r="T887" s="100"/>
      <c r="V887" s="99"/>
      <c r="W887" s="99"/>
      <c r="Y887" s="47"/>
    </row>
    <row r="888" spans="17:25" ht="15.75" customHeight="1" x14ac:dyDescent="0.25">
      <c r="Q888" s="99"/>
      <c r="R888" s="99"/>
      <c r="S888" s="99"/>
      <c r="T888" s="100"/>
      <c r="V888" s="99"/>
      <c r="W888" s="99"/>
      <c r="Y888" s="47"/>
    </row>
    <row r="889" spans="17:25" ht="15.75" customHeight="1" x14ac:dyDescent="0.25">
      <c r="Q889" s="99"/>
      <c r="R889" s="99"/>
      <c r="S889" s="99"/>
      <c r="T889" s="100"/>
      <c r="V889" s="99"/>
      <c r="W889" s="99"/>
      <c r="Y889" s="47"/>
    </row>
    <row r="890" spans="17:25" ht="15.75" customHeight="1" x14ac:dyDescent="0.25">
      <c r="Q890" s="99"/>
      <c r="R890" s="99"/>
      <c r="S890" s="99"/>
      <c r="T890" s="100"/>
      <c r="V890" s="99"/>
      <c r="W890" s="99"/>
      <c r="Y890" s="47"/>
    </row>
    <row r="891" spans="17:25" ht="15.75" customHeight="1" x14ac:dyDescent="0.25">
      <c r="Q891" s="99"/>
      <c r="R891" s="99"/>
      <c r="S891" s="99"/>
      <c r="T891" s="100"/>
      <c r="V891" s="99"/>
      <c r="W891" s="99"/>
      <c r="Y891" s="47"/>
    </row>
    <row r="892" spans="17:25" ht="15.75" customHeight="1" x14ac:dyDescent="0.25">
      <c r="Q892" s="99"/>
      <c r="R892" s="99"/>
      <c r="S892" s="99"/>
      <c r="T892" s="100"/>
      <c r="V892" s="99"/>
      <c r="W892" s="99"/>
      <c r="Y892" s="47"/>
    </row>
    <row r="893" spans="17:25" ht="15.75" customHeight="1" x14ac:dyDescent="0.25">
      <c r="Q893" s="99"/>
      <c r="R893" s="99"/>
      <c r="S893" s="99"/>
      <c r="T893" s="100"/>
      <c r="V893" s="99"/>
      <c r="W893" s="99"/>
      <c r="Y893" s="47"/>
    </row>
    <row r="894" spans="17:25" ht="15.75" customHeight="1" x14ac:dyDescent="0.25">
      <c r="Q894" s="99"/>
      <c r="R894" s="99"/>
      <c r="S894" s="99"/>
      <c r="T894" s="100"/>
      <c r="V894" s="99"/>
      <c r="W894" s="99"/>
      <c r="Y894" s="47"/>
    </row>
    <row r="895" spans="17:25" ht="15.75" customHeight="1" x14ac:dyDescent="0.25">
      <c r="Q895" s="99"/>
      <c r="R895" s="99"/>
      <c r="S895" s="99"/>
      <c r="T895" s="100"/>
      <c r="V895" s="99"/>
      <c r="W895" s="99"/>
      <c r="Y895" s="47"/>
    </row>
    <row r="896" spans="17:25" ht="15.75" customHeight="1" x14ac:dyDescent="0.25">
      <c r="Q896" s="99"/>
      <c r="R896" s="99"/>
      <c r="S896" s="99"/>
      <c r="T896" s="100"/>
      <c r="V896" s="99"/>
      <c r="W896" s="99"/>
      <c r="Y896" s="47"/>
    </row>
    <row r="897" spans="17:25" ht="15.75" customHeight="1" x14ac:dyDescent="0.25">
      <c r="Q897" s="99"/>
      <c r="R897" s="99"/>
      <c r="S897" s="99"/>
      <c r="T897" s="100"/>
      <c r="V897" s="99"/>
      <c r="W897" s="99"/>
      <c r="Y897" s="47"/>
    </row>
    <row r="898" spans="17:25" ht="15.75" customHeight="1" x14ac:dyDescent="0.25">
      <c r="Q898" s="99"/>
      <c r="R898" s="99"/>
      <c r="S898" s="99"/>
      <c r="T898" s="100"/>
      <c r="V898" s="99"/>
      <c r="W898" s="99"/>
      <c r="Y898" s="47"/>
    </row>
    <row r="899" spans="17:25" ht="15.75" customHeight="1" x14ac:dyDescent="0.25">
      <c r="Q899" s="99"/>
      <c r="R899" s="99"/>
      <c r="S899" s="99"/>
      <c r="T899" s="100"/>
      <c r="V899" s="99"/>
      <c r="W899" s="99"/>
      <c r="Y899" s="47"/>
    </row>
    <row r="900" spans="17:25" ht="15.75" customHeight="1" x14ac:dyDescent="0.25">
      <c r="Q900" s="99"/>
      <c r="R900" s="99"/>
      <c r="S900" s="99"/>
      <c r="T900" s="100"/>
      <c r="V900" s="99"/>
      <c r="W900" s="99"/>
      <c r="Y900" s="47"/>
    </row>
    <row r="901" spans="17:25" ht="15.75" customHeight="1" x14ac:dyDescent="0.25">
      <c r="Q901" s="99"/>
      <c r="R901" s="99"/>
      <c r="S901" s="99"/>
      <c r="T901" s="100"/>
      <c r="V901" s="99"/>
      <c r="W901" s="99"/>
      <c r="Y901" s="47"/>
    </row>
    <row r="902" spans="17:25" ht="15.75" customHeight="1" x14ac:dyDescent="0.25">
      <c r="Q902" s="99"/>
      <c r="R902" s="99"/>
      <c r="S902" s="99"/>
      <c r="T902" s="100"/>
      <c r="V902" s="99"/>
      <c r="W902" s="99"/>
      <c r="Y902" s="47"/>
    </row>
    <row r="903" spans="17:25" ht="15.75" customHeight="1" x14ac:dyDescent="0.25">
      <c r="Q903" s="99"/>
      <c r="R903" s="99"/>
      <c r="S903" s="99"/>
      <c r="T903" s="100"/>
      <c r="V903" s="99"/>
      <c r="W903" s="99"/>
      <c r="Y903" s="47"/>
    </row>
    <row r="904" spans="17:25" ht="15.75" customHeight="1" x14ac:dyDescent="0.25">
      <c r="Q904" s="99"/>
      <c r="R904" s="99"/>
      <c r="S904" s="99"/>
      <c r="T904" s="100"/>
      <c r="V904" s="99"/>
      <c r="W904" s="99"/>
      <c r="Y904" s="47"/>
    </row>
    <row r="905" spans="17:25" ht="15.75" customHeight="1" x14ac:dyDescent="0.25">
      <c r="Q905" s="99"/>
      <c r="R905" s="99"/>
      <c r="S905" s="99"/>
      <c r="T905" s="100"/>
      <c r="V905" s="99"/>
      <c r="W905" s="99"/>
      <c r="Y905" s="47"/>
    </row>
    <row r="906" spans="17:25" ht="15.75" customHeight="1" x14ac:dyDescent="0.25">
      <c r="Q906" s="99"/>
      <c r="R906" s="99"/>
      <c r="S906" s="99"/>
      <c r="T906" s="100"/>
      <c r="V906" s="99"/>
      <c r="W906" s="99"/>
      <c r="Y906" s="47"/>
    </row>
    <row r="907" spans="17:25" ht="15.75" customHeight="1" x14ac:dyDescent="0.25">
      <c r="Q907" s="99"/>
      <c r="R907" s="99"/>
      <c r="S907" s="99"/>
      <c r="T907" s="100"/>
      <c r="V907" s="99"/>
      <c r="W907" s="99"/>
      <c r="Y907" s="47"/>
    </row>
    <row r="908" spans="17:25" ht="15.75" customHeight="1" x14ac:dyDescent="0.25">
      <c r="Q908" s="99"/>
      <c r="R908" s="99"/>
      <c r="S908" s="99"/>
      <c r="T908" s="100"/>
      <c r="V908" s="99"/>
      <c r="W908" s="99"/>
      <c r="Y908" s="47"/>
    </row>
    <row r="909" spans="17:25" ht="15.75" customHeight="1" x14ac:dyDescent="0.25">
      <c r="Q909" s="99"/>
      <c r="R909" s="99"/>
      <c r="S909" s="99"/>
      <c r="T909" s="100"/>
      <c r="V909" s="99"/>
      <c r="W909" s="99"/>
      <c r="Y909" s="47"/>
    </row>
    <row r="910" spans="17:25" ht="15.75" customHeight="1" x14ac:dyDescent="0.25">
      <c r="Q910" s="99"/>
      <c r="R910" s="99"/>
      <c r="S910" s="99"/>
      <c r="T910" s="100"/>
      <c r="V910" s="99"/>
      <c r="W910" s="99"/>
      <c r="Y910" s="47"/>
    </row>
    <row r="911" spans="17:25" ht="15.75" customHeight="1" x14ac:dyDescent="0.25">
      <c r="Q911" s="99"/>
      <c r="R911" s="99"/>
      <c r="S911" s="99"/>
      <c r="T911" s="100"/>
      <c r="V911" s="99"/>
      <c r="W911" s="99"/>
      <c r="Y911" s="47"/>
    </row>
    <row r="912" spans="17:25" ht="15.75" customHeight="1" x14ac:dyDescent="0.25">
      <c r="Q912" s="99"/>
      <c r="R912" s="99"/>
      <c r="S912" s="99"/>
      <c r="T912" s="100"/>
      <c r="V912" s="99"/>
      <c r="W912" s="99"/>
      <c r="Y912" s="47"/>
    </row>
    <row r="913" spans="17:25" ht="15.75" customHeight="1" x14ac:dyDescent="0.25">
      <c r="Q913" s="99"/>
      <c r="R913" s="99"/>
      <c r="S913" s="99"/>
      <c r="T913" s="100"/>
      <c r="V913" s="99"/>
      <c r="W913" s="99"/>
      <c r="Y913" s="47"/>
    </row>
    <row r="914" spans="17:25" ht="15.75" customHeight="1" x14ac:dyDescent="0.25">
      <c r="Q914" s="99"/>
      <c r="R914" s="99"/>
      <c r="S914" s="99"/>
      <c r="T914" s="100"/>
      <c r="V914" s="99"/>
      <c r="W914" s="99"/>
      <c r="Y914" s="47"/>
    </row>
    <row r="915" spans="17:25" ht="15.75" customHeight="1" x14ac:dyDescent="0.25">
      <c r="Q915" s="99"/>
      <c r="R915" s="99"/>
      <c r="S915" s="99"/>
      <c r="T915" s="100"/>
      <c r="V915" s="99"/>
      <c r="W915" s="99"/>
      <c r="Y915" s="47"/>
    </row>
    <row r="916" spans="17:25" ht="15.75" customHeight="1" x14ac:dyDescent="0.25">
      <c r="Q916" s="99"/>
      <c r="R916" s="99"/>
      <c r="S916" s="99"/>
      <c r="T916" s="100"/>
      <c r="V916" s="99"/>
      <c r="W916" s="99"/>
      <c r="Y916" s="47"/>
    </row>
    <row r="917" spans="17:25" ht="15.75" customHeight="1" x14ac:dyDescent="0.25">
      <c r="Q917" s="99"/>
      <c r="R917" s="99"/>
      <c r="S917" s="99"/>
      <c r="T917" s="100"/>
      <c r="V917" s="99"/>
      <c r="W917" s="99"/>
      <c r="Y917" s="47"/>
    </row>
    <row r="918" spans="17:25" ht="15.75" customHeight="1" x14ac:dyDescent="0.25">
      <c r="Q918" s="99"/>
      <c r="R918" s="99"/>
      <c r="S918" s="99"/>
      <c r="T918" s="100"/>
      <c r="V918" s="99"/>
      <c r="W918" s="99"/>
      <c r="Y918" s="47"/>
    </row>
    <row r="919" spans="17:25" ht="15.75" customHeight="1" x14ac:dyDescent="0.25">
      <c r="Q919" s="99"/>
      <c r="R919" s="99"/>
      <c r="S919" s="99"/>
      <c r="T919" s="100"/>
      <c r="V919" s="99"/>
      <c r="W919" s="99"/>
      <c r="Y919" s="47"/>
    </row>
    <row r="920" spans="17:25" ht="15.75" customHeight="1" x14ac:dyDescent="0.25">
      <c r="Q920" s="99"/>
      <c r="R920" s="99"/>
      <c r="S920" s="99"/>
      <c r="T920" s="100"/>
      <c r="V920" s="99"/>
      <c r="W920" s="99"/>
      <c r="Y920" s="47"/>
    </row>
    <row r="921" spans="17:25" ht="15.75" customHeight="1" x14ac:dyDescent="0.25">
      <c r="Q921" s="99"/>
      <c r="R921" s="99"/>
      <c r="S921" s="99"/>
      <c r="T921" s="100"/>
      <c r="V921" s="99"/>
      <c r="W921" s="99"/>
      <c r="Y921" s="47"/>
    </row>
    <row r="922" spans="17:25" ht="15.75" customHeight="1" x14ac:dyDescent="0.25">
      <c r="Q922" s="99"/>
      <c r="R922" s="99"/>
      <c r="S922" s="99"/>
      <c r="T922" s="100"/>
      <c r="V922" s="99"/>
      <c r="W922" s="99"/>
      <c r="Y922" s="47"/>
    </row>
    <row r="923" spans="17:25" ht="15.75" customHeight="1" x14ac:dyDescent="0.25">
      <c r="Q923" s="99"/>
      <c r="R923" s="99"/>
      <c r="S923" s="99"/>
      <c r="T923" s="100"/>
      <c r="V923" s="99"/>
      <c r="W923" s="99"/>
      <c r="Y923" s="47"/>
    </row>
    <row r="924" spans="17:25" ht="15.75" customHeight="1" x14ac:dyDescent="0.25">
      <c r="Q924" s="99"/>
      <c r="R924" s="99"/>
      <c r="S924" s="99"/>
      <c r="T924" s="100"/>
      <c r="V924" s="99"/>
      <c r="W924" s="99"/>
      <c r="Y924" s="47"/>
    </row>
    <row r="925" spans="17:25" ht="15.75" customHeight="1" x14ac:dyDescent="0.25">
      <c r="Q925" s="99"/>
      <c r="R925" s="99"/>
      <c r="S925" s="99"/>
      <c r="T925" s="100"/>
      <c r="V925" s="99"/>
      <c r="W925" s="99"/>
      <c r="Y925" s="47"/>
    </row>
    <row r="926" spans="17:25" ht="15.75" customHeight="1" x14ac:dyDescent="0.25">
      <c r="Q926" s="99"/>
      <c r="R926" s="99"/>
      <c r="S926" s="99"/>
      <c r="T926" s="100"/>
      <c r="V926" s="99"/>
      <c r="W926" s="99"/>
      <c r="Y926" s="47"/>
    </row>
    <row r="927" spans="17:25" ht="15.75" customHeight="1" x14ac:dyDescent="0.25">
      <c r="Q927" s="99"/>
      <c r="R927" s="99"/>
      <c r="S927" s="99"/>
      <c r="T927" s="100"/>
      <c r="V927" s="99"/>
      <c r="W927" s="99"/>
      <c r="Y927" s="47"/>
    </row>
    <row r="928" spans="17:25" ht="15.75" customHeight="1" x14ac:dyDescent="0.25">
      <c r="Q928" s="99"/>
      <c r="R928" s="99"/>
      <c r="S928" s="99"/>
      <c r="T928" s="100"/>
      <c r="V928" s="99"/>
      <c r="W928" s="99"/>
      <c r="Y928" s="47"/>
    </row>
    <row r="929" spans="17:25" ht="15.75" customHeight="1" x14ac:dyDescent="0.25">
      <c r="Q929" s="99"/>
      <c r="R929" s="99"/>
      <c r="S929" s="99"/>
      <c r="T929" s="100"/>
      <c r="V929" s="99"/>
      <c r="W929" s="99"/>
      <c r="Y929" s="47"/>
    </row>
    <row r="930" spans="17:25" ht="15.75" customHeight="1" x14ac:dyDescent="0.25">
      <c r="Q930" s="99"/>
      <c r="R930" s="99"/>
      <c r="S930" s="99"/>
      <c r="T930" s="100"/>
      <c r="V930" s="99"/>
      <c r="W930" s="99"/>
      <c r="Y930" s="47"/>
    </row>
    <row r="931" spans="17:25" ht="15.75" customHeight="1" x14ac:dyDescent="0.25">
      <c r="Q931" s="99"/>
      <c r="R931" s="99"/>
      <c r="S931" s="99"/>
      <c r="T931" s="100"/>
      <c r="V931" s="99"/>
      <c r="W931" s="99"/>
      <c r="Y931" s="47"/>
    </row>
    <row r="932" spans="17:25" ht="15.75" customHeight="1" x14ac:dyDescent="0.25">
      <c r="Q932" s="99"/>
      <c r="R932" s="99"/>
      <c r="S932" s="99"/>
      <c r="T932" s="100"/>
      <c r="V932" s="99"/>
      <c r="W932" s="99"/>
      <c r="Y932" s="47"/>
    </row>
    <row r="933" spans="17:25" ht="15.75" customHeight="1" x14ac:dyDescent="0.25">
      <c r="Q933" s="99"/>
      <c r="R933" s="99"/>
      <c r="S933" s="99"/>
      <c r="T933" s="100"/>
      <c r="V933" s="99"/>
      <c r="W933" s="99"/>
      <c r="Y933" s="47"/>
    </row>
    <row r="934" spans="17:25" ht="15.75" customHeight="1" x14ac:dyDescent="0.25">
      <c r="Q934" s="99"/>
      <c r="R934" s="99"/>
      <c r="S934" s="99"/>
      <c r="T934" s="100"/>
      <c r="V934" s="99"/>
      <c r="W934" s="99"/>
      <c r="Y934" s="47"/>
    </row>
    <row r="935" spans="17:25" ht="15.75" customHeight="1" x14ac:dyDescent="0.25">
      <c r="Q935" s="99"/>
      <c r="R935" s="99"/>
      <c r="S935" s="99"/>
      <c r="T935" s="100"/>
      <c r="V935" s="99"/>
      <c r="W935" s="99"/>
      <c r="Y935" s="47"/>
    </row>
    <row r="936" spans="17:25" ht="15.75" customHeight="1" x14ac:dyDescent="0.25">
      <c r="Q936" s="99"/>
      <c r="R936" s="99"/>
      <c r="S936" s="99"/>
      <c r="T936" s="100"/>
      <c r="V936" s="99"/>
      <c r="W936" s="99"/>
      <c r="Y936" s="47"/>
    </row>
    <row r="937" spans="17:25" ht="15.75" customHeight="1" x14ac:dyDescent="0.25">
      <c r="Q937" s="99"/>
      <c r="R937" s="99"/>
      <c r="S937" s="99"/>
      <c r="T937" s="100"/>
      <c r="V937" s="99"/>
      <c r="W937" s="99"/>
      <c r="Y937" s="47"/>
    </row>
    <row r="938" spans="17:25" ht="15.75" customHeight="1" x14ac:dyDescent="0.25">
      <c r="Q938" s="99"/>
      <c r="R938" s="99"/>
      <c r="S938" s="99"/>
      <c r="T938" s="100"/>
      <c r="V938" s="99"/>
      <c r="W938" s="99"/>
      <c r="Y938" s="47"/>
    </row>
    <row r="939" spans="17:25" ht="15.75" customHeight="1" x14ac:dyDescent="0.25">
      <c r="Q939" s="99"/>
      <c r="R939" s="99"/>
      <c r="S939" s="99"/>
      <c r="T939" s="100"/>
      <c r="V939" s="99"/>
      <c r="W939" s="99"/>
      <c r="Y939" s="47"/>
    </row>
    <row r="940" spans="17:25" ht="15.75" customHeight="1" x14ac:dyDescent="0.25">
      <c r="Q940" s="99"/>
      <c r="R940" s="99"/>
      <c r="S940" s="99"/>
      <c r="T940" s="100"/>
      <c r="V940" s="99"/>
      <c r="W940" s="99"/>
      <c r="Y940" s="47"/>
    </row>
    <row r="941" spans="17:25" ht="15.75" customHeight="1" x14ac:dyDescent="0.25">
      <c r="Q941" s="99"/>
      <c r="R941" s="99"/>
      <c r="S941" s="99"/>
      <c r="T941" s="100"/>
      <c r="V941" s="99"/>
      <c r="W941" s="99"/>
      <c r="Y941" s="47"/>
    </row>
    <row r="942" spans="17:25" ht="15.75" customHeight="1" x14ac:dyDescent="0.25">
      <c r="Q942" s="99"/>
      <c r="R942" s="99"/>
      <c r="S942" s="99"/>
      <c r="T942" s="100"/>
      <c r="V942" s="99"/>
      <c r="W942" s="99"/>
      <c r="Y942" s="47"/>
    </row>
    <row r="943" spans="17:25" ht="15.75" customHeight="1" x14ac:dyDescent="0.25">
      <c r="Q943" s="99"/>
      <c r="R943" s="99"/>
      <c r="S943" s="99"/>
      <c r="T943" s="100"/>
      <c r="V943" s="99"/>
      <c r="W943" s="99"/>
      <c r="Y943" s="47"/>
    </row>
    <row r="944" spans="17:25" ht="15.75" customHeight="1" x14ac:dyDescent="0.25">
      <c r="Q944" s="99"/>
      <c r="R944" s="99"/>
      <c r="S944" s="99"/>
      <c r="T944" s="100"/>
      <c r="V944" s="99"/>
      <c r="W944" s="99"/>
      <c r="Y944" s="47"/>
    </row>
    <row r="945" spans="17:25" ht="15.75" customHeight="1" x14ac:dyDescent="0.25">
      <c r="Q945" s="99"/>
      <c r="R945" s="99"/>
      <c r="S945" s="99"/>
      <c r="T945" s="100"/>
      <c r="V945" s="99"/>
      <c r="W945" s="99"/>
      <c r="Y945" s="47"/>
    </row>
    <row r="946" spans="17:25" ht="15.75" customHeight="1" x14ac:dyDescent="0.25">
      <c r="Q946" s="99"/>
      <c r="R946" s="99"/>
      <c r="S946" s="99"/>
      <c r="T946" s="100"/>
      <c r="V946" s="99"/>
      <c r="W946" s="99"/>
      <c r="Y946" s="47"/>
    </row>
    <row r="947" spans="17:25" ht="15.75" customHeight="1" x14ac:dyDescent="0.25">
      <c r="Q947" s="99"/>
      <c r="R947" s="99"/>
      <c r="S947" s="99"/>
      <c r="T947" s="100"/>
      <c r="V947" s="99"/>
      <c r="W947" s="99"/>
      <c r="Y947" s="47"/>
    </row>
    <row r="948" spans="17:25" ht="15.75" customHeight="1" x14ac:dyDescent="0.25">
      <c r="Q948" s="99"/>
      <c r="R948" s="99"/>
      <c r="S948" s="99"/>
      <c r="T948" s="100"/>
      <c r="V948" s="99"/>
      <c r="W948" s="99"/>
      <c r="Y948" s="47"/>
    </row>
    <row r="949" spans="17:25" ht="15.75" customHeight="1" x14ac:dyDescent="0.25">
      <c r="Q949" s="99"/>
      <c r="R949" s="99"/>
      <c r="S949" s="99"/>
      <c r="T949" s="100"/>
      <c r="V949" s="99"/>
      <c r="W949" s="99"/>
      <c r="Y949" s="47"/>
    </row>
    <row r="950" spans="17:25" ht="15.75" customHeight="1" x14ac:dyDescent="0.25">
      <c r="Q950" s="99"/>
      <c r="R950" s="99"/>
      <c r="S950" s="99"/>
      <c r="T950" s="100"/>
      <c r="V950" s="99"/>
      <c r="W950" s="99"/>
      <c r="Y950" s="47"/>
    </row>
    <row r="951" spans="17:25" ht="15.75" customHeight="1" x14ac:dyDescent="0.25">
      <c r="Q951" s="99"/>
      <c r="R951" s="99"/>
      <c r="S951" s="99"/>
      <c r="T951" s="100"/>
      <c r="V951" s="99"/>
      <c r="W951" s="99"/>
      <c r="Y951" s="47"/>
    </row>
    <row r="952" spans="17:25" ht="15.75" customHeight="1" x14ac:dyDescent="0.25">
      <c r="Q952" s="99"/>
      <c r="R952" s="99"/>
      <c r="S952" s="99"/>
      <c r="T952" s="100"/>
      <c r="V952" s="99"/>
      <c r="W952" s="99"/>
      <c r="Y952" s="47"/>
    </row>
    <row r="953" spans="17:25" ht="15.75" customHeight="1" x14ac:dyDescent="0.25">
      <c r="Q953" s="99"/>
      <c r="R953" s="99"/>
      <c r="S953" s="99"/>
      <c r="T953" s="100"/>
      <c r="V953" s="99"/>
      <c r="W953" s="99"/>
      <c r="Y953" s="47"/>
    </row>
    <row r="954" spans="17:25" ht="15.75" customHeight="1" x14ac:dyDescent="0.25">
      <c r="Q954" s="99"/>
      <c r="R954" s="99"/>
      <c r="S954" s="99"/>
      <c r="T954" s="100"/>
      <c r="V954" s="99"/>
      <c r="W954" s="99"/>
      <c r="Y954" s="47"/>
    </row>
    <row r="955" spans="17:25" ht="15.75" customHeight="1" x14ac:dyDescent="0.25">
      <c r="Q955" s="99"/>
      <c r="R955" s="99"/>
      <c r="S955" s="99"/>
      <c r="T955" s="100"/>
      <c r="V955" s="99"/>
      <c r="W955" s="99"/>
      <c r="Y955" s="47"/>
    </row>
    <row r="956" spans="17:25" ht="15.75" customHeight="1" x14ac:dyDescent="0.25">
      <c r="Q956" s="99"/>
      <c r="R956" s="99"/>
      <c r="S956" s="99"/>
      <c r="T956" s="100"/>
      <c r="V956" s="99"/>
      <c r="W956" s="99"/>
      <c r="Y956" s="47"/>
    </row>
    <row r="957" spans="17:25" ht="15.75" customHeight="1" x14ac:dyDescent="0.25">
      <c r="Q957" s="99"/>
      <c r="R957" s="99"/>
      <c r="S957" s="99"/>
      <c r="T957" s="100"/>
      <c r="V957" s="99"/>
      <c r="W957" s="99"/>
      <c r="Y957" s="47"/>
    </row>
    <row r="958" spans="17:25" ht="15.75" customHeight="1" x14ac:dyDescent="0.25">
      <c r="Q958" s="99"/>
      <c r="R958" s="99"/>
      <c r="S958" s="99"/>
      <c r="T958" s="100"/>
      <c r="V958" s="99"/>
      <c r="W958" s="99"/>
      <c r="Y958" s="47"/>
    </row>
    <row r="959" spans="17:25" ht="15.75" customHeight="1" x14ac:dyDescent="0.25">
      <c r="Q959" s="99"/>
      <c r="R959" s="99"/>
      <c r="S959" s="99"/>
      <c r="T959" s="100"/>
      <c r="V959" s="99"/>
      <c r="W959" s="99"/>
      <c r="Y959" s="47"/>
    </row>
    <row r="960" spans="17:25" ht="15.75" customHeight="1" x14ac:dyDescent="0.25">
      <c r="Q960" s="99"/>
      <c r="R960" s="99"/>
      <c r="S960" s="99"/>
      <c r="T960" s="100"/>
      <c r="V960" s="99"/>
      <c r="W960" s="99"/>
      <c r="Y960" s="47"/>
    </row>
    <row r="961" spans="17:25" ht="15.75" customHeight="1" x14ac:dyDescent="0.25">
      <c r="Q961" s="99"/>
      <c r="R961" s="99"/>
      <c r="S961" s="99"/>
      <c r="T961" s="100"/>
      <c r="V961" s="99"/>
      <c r="W961" s="99"/>
      <c r="Y961" s="47"/>
    </row>
    <row r="962" spans="17:25" ht="15.75" customHeight="1" x14ac:dyDescent="0.25">
      <c r="Q962" s="99"/>
      <c r="R962" s="99"/>
      <c r="S962" s="99"/>
      <c r="T962" s="100"/>
      <c r="V962" s="99"/>
      <c r="W962" s="99"/>
      <c r="Y962" s="47"/>
    </row>
    <row r="963" spans="17:25" ht="15.75" customHeight="1" x14ac:dyDescent="0.25">
      <c r="Q963" s="99"/>
      <c r="R963" s="99"/>
      <c r="S963" s="99"/>
      <c r="T963" s="100"/>
      <c r="V963" s="99"/>
      <c r="W963" s="99"/>
      <c r="Y963" s="47"/>
    </row>
    <row r="964" spans="17:25" ht="15.75" customHeight="1" x14ac:dyDescent="0.25">
      <c r="Q964" s="99"/>
      <c r="R964" s="99"/>
      <c r="S964" s="99"/>
      <c r="T964" s="100"/>
      <c r="V964" s="99"/>
      <c r="W964" s="99"/>
      <c r="Y964" s="47"/>
    </row>
    <row r="965" spans="17:25" ht="15.75" customHeight="1" x14ac:dyDescent="0.25">
      <c r="Q965" s="99"/>
      <c r="R965" s="99"/>
      <c r="S965" s="99"/>
      <c r="T965" s="100"/>
      <c r="V965" s="99"/>
      <c r="W965" s="99"/>
      <c r="Y965" s="47"/>
    </row>
    <row r="966" spans="17:25" ht="15.75" customHeight="1" x14ac:dyDescent="0.25">
      <c r="Q966" s="99"/>
      <c r="R966" s="99"/>
      <c r="S966" s="99"/>
      <c r="T966" s="100"/>
      <c r="V966" s="99"/>
      <c r="W966" s="99"/>
      <c r="Y966" s="47"/>
    </row>
    <row r="967" spans="17:25" ht="15.75" customHeight="1" x14ac:dyDescent="0.25">
      <c r="Q967" s="99"/>
      <c r="R967" s="99"/>
      <c r="S967" s="99"/>
      <c r="T967" s="100"/>
      <c r="V967" s="99"/>
      <c r="W967" s="99"/>
      <c r="Y967" s="47"/>
    </row>
    <row r="968" spans="17:25" ht="15.75" customHeight="1" x14ac:dyDescent="0.25">
      <c r="Q968" s="99"/>
      <c r="R968" s="99"/>
      <c r="S968" s="99"/>
      <c r="T968" s="100"/>
      <c r="V968" s="99"/>
      <c r="W968" s="99"/>
      <c r="Y968" s="47"/>
    </row>
    <row r="969" spans="17:25" ht="15.75" customHeight="1" x14ac:dyDescent="0.25">
      <c r="Q969" s="99"/>
      <c r="R969" s="99"/>
      <c r="S969" s="99"/>
      <c r="T969" s="100"/>
      <c r="V969" s="99"/>
      <c r="W969" s="99"/>
      <c r="Y969" s="47"/>
    </row>
    <row r="970" spans="17:25" ht="15.75" customHeight="1" x14ac:dyDescent="0.25">
      <c r="Q970" s="99"/>
      <c r="R970" s="99"/>
      <c r="S970" s="99"/>
      <c r="T970" s="100"/>
      <c r="V970" s="99"/>
      <c r="W970" s="99"/>
      <c r="Y970" s="47"/>
    </row>
    <row r="971" spans="17:25" ht="15.75" customHeight="1" x14ac:dyDescent="0.25">
      <c r="Q971" s="99"/>
      <c r="R971" s="99"/>
      <c r="S971" s="99"/>
      <c r="T971" s="100"/>
      <c r="V971" s="99"/>
      <c r="W971" s="99"/>
      <c r="Y971" s="47"/>
    </row>
    <row r="972" spans="17:25" ht="15.75" customHeight="1" x14ac:dyDescent="0.25">
      <c r="Q972" s="99"/>
      <c r="R972" s="99"/>
      <c r="S972" s="99"/>
      <c r="T972" s="100"/>
      <c r="V972" s="99"/>
      <c r="W972" s="99"/>
      <c r="Y972" s="47"/>
    </row>
    <row r="973" spans="17:25" ht="15.75" customHeight="1" x14ac:dyDescent="0.25">
      <c r="Q973" s="99"/>
      <c r="R973" s="99"/>
      <c r="S973" s="99"/>
      <c r="T973" s="100"/>
      <c r="V973" s="99"/>
      <c r="W973" s="99"/>
      <c r="Y973" s="47"/>
    </row>
    <row r="974" spans="17:25" ht="15.75" customHeight="1" x14ac:dyDescent="0.25">
      <c r="Q974" s="99"/>
      <c r="R974" s="99"/>
      <c r="S974" s="99"/>
      <c r="T974" s="100"/>
      <c r="V974" s="99"/>
      <c r="W974" s="99"/>
      <c r="Y974" s="47"/>
    </row>
    <row r="975" spans="17:25" ht="15.75" customHeight="1" x14ac:dyDescent="0.25">
      <c r="Q975" s="99"/>
      <c r="R975" s="99"/>
      <c r="S975" s="99"/>
      <c r="T975" s="100"/>
      <c r="V975" s="99"/>
      <c r="W975" s="99"/>
      <c r="Y975" s="47"/>
    </row>
    <row r="976" spans="17:25" ht="15.75" customHeight="1" x14ac:dyDescent="0.25">
      <c r="Q976" s="99"/>
      <c r="R976" s="99"/>
      <c r="S976" s="99"/>
      <c r="T976" s="100"/>
      <c r="V976" s="99"/>
      <c r="W976" s="99"/>
      <c r="Y976" s="47"/>
    </row>
    <row r="977" spans="17:25" ht="15.75" customHeight="1" x14ac:dyDescent="0.25">
      <c r="Q977" s="99"/>
      <c r="R977" s="99"/>
      <c r="S977" s="99"/>
      <c r="T977" s="100"/>
      <c r="V977" s="99"/>
      <c r="W977" s="99"/>
      <c r="Y977" s="47"/>
    </row>
    <row r="978" spans="17:25" ht="15.75" customHeight="1" x14ac:dyDescent="0.25">
      <c r="Q978" s="99"/>
      <c r="R978" s="99"/>
      <c r="S978" s="99"/>
      <c r="T978" s="100"/>
      <c r="V978" s="99"/>
      <c r="W978" s="99"/>
      <c r="Y978" s="47"/>
    </row>
    <row r="979" spans="17:25" ht="15.75" customHeight="1" x14ac:dyDescent="0.25">
      <c r="Q979" s="99"/>
      <c r="R979" s="99"/>
      <c r="S979" s="99"/>
      <c r="T979" s="100"/>
      <c r="V979" s="99"/>
      <c r="W979" s="99"/>
      <c r="Y979" s="47"/>
    </row>
    <row r="980" spans="17:25" ht="15.75" customHeight="1" x14ac:dyDescent="0.25">
      <c r="Q980" s="99"/>
      <c r="R980" s="99"/>
      <c r="S980" s="99"/>
      <c r="T980" s="100"/>
      <c r="V980" s="99"/>
      <c r="W980" s="99"/>
      <c r="Y980" s="47"/>
    </row>
    <row r="981" spans="17:25" ht="15.75" customHeight="1" x14ac:dyDescent="0.25">
      <c r="Q981" s="99"/>
      <c r="R981" s="99"/>
      <c r="S981" s="99"/>
      <c r="T981" s="100"/>
      <c r="V981" s="99"/>
      <c r="W981" s="99"/>
      <c r="Y981" s="47"/>
    </row>
    <row r="982" spans="17:25" ht="15.75" customHeight="1" x14ac:dyDescent="0.25">
      <c r="Q982" s="99"/>
      <c r="R982" s="99"/>
      <c r="S982" s="99"/>
      <c r="T982" s="100"/>
      <c r="V982" s="99"/>
      <c r="W982" s="99"/>
      <c r="Y982" s="47"/>
    </row>
    <row r="983" spans="17:25" ht="15.75" customHeight="1" x14ac:dyDescent="0.25">
      <c r="Q983" s="99"/>
      <c r="R983" s="99"/>
      <c r="S983" s="99"/>
      <c r="T983" s="100"/>
      <c r="V983" s="99"/>
      <c r="W983" s="99"/>
      <c r="Y983" s="47"/>
    </row>
    <row r="984" spans="17:25" ht="15.75" customHeight="1" x14ac:dyDescent="0.25">
      <c r="Q984" s="99"/>
      <c r="R984" s="99"/>
      <c r="S984" s="99"/>
      <c r="T984" s="100"/>
      <c r="V984" s="99"/>
      <c r="W984" s="99"/>
      <c r="Y984" s="47"/>
    </row>
    <row r="985" spans="17:25" ht="15.75" customHeight="1" x14ac:dyDescent="0.25">
      <c r="Q985" s="99"/>
      <c r="R985" s="99"/>
      <c r="S985" s="99"/>
      <c r="T985" s="100"/>
      <c r="V985" s="99"/>
      <c r="W985" s="99"/>
      <c r="Y985" s="47"/>
    </row>
    <row r="986" spans="17:25" ht="15.75" customHeight="1" x14ac:dyDescent="0.25">
      <c r="Q986" s="99"/>
      <c r="R986" s="99"/>
      <c r="S986" s="99"/>
      <c r="T986" s="100"/>
      <c r="V986" s="99"/>
      <c r="W986" s="99"/>
      <c r="Y986" s="47"/>
    </row>
    <row r="987" spans="17:25" ht="15.75" customHeight="1" x14ac:dyDescent="0.25">
      <c r="Q987" s="99"/>
      <c r="R987" s="99"/>
      <c r="S987" s="99"/>
      <c r="T987" s="100"/>
      <c r="V987" s="99"/>
      <c r="W987" s="99"/>
      <c r="Y987" s="47"/>
    </row>
    <row r="988" spans="17:25" ht="15.75" customHeight="1" x14ac:dyDescent="0.25">
      <c r="Q988" s="99"/>
      <c r="R988" s="99"/>
      <c r="S988" s="99"/>
      <c r="T988" s="100"/>
      <c r="V988" s="99"/>
      <c r="W988" s="99"/>
      <c r="Y988" s="47"/>
    </row>
    <row r="989" spans="17:25" ht="15.75" customHeight="1" x14ac:dyDescent="0.25">
      <c r="Q989" s="99"/>
      <c r="R989" s="99"/>
      <c r="S989" s="99"/>
      <c r="T989" s="100"/>
      <c r="V989" s="99"/>
      <c r="W989" s="99"/>
      <c r="Y989" s="47"/>
    </row>
    <row r="990" spans="17:25" ht="15.75" customHeight="1" x14ac:dyDescent="0.25">
      <c r="Q990" s="99"/>
      <c r="R990" s="99"/>
      <c r="S990" s="99"/>
      <c r="T990" s="100"/>
      <c r="V990" s="99"/>
      <c r="W990" s="99"/>
      <c r="Y990" s="47"/>
    </row>
    <row r="991" spans="17:25" ht="15.75" customHeight="1" x14ac:dyDescent="0.25">
      <c r="Q991" s="99"/>
      <c r="R991" s="99"/>
      <c r="S991" s="99"/>
      <c r="T991" s="100"/>
      <c r="V991" s="99"/>
      <c r="W991" s="99"/>
      <c r="Y991" s="47"/>
    </row>
    <row r="992" spans="17:25" ht="15.75" customHeight="1" x14ac:dyDescent="0.25">
      <c r="Q992" s="99"/>
      <c r="R992" s="99"/>
      <c r="S992" s="99"/>
      <c r="T992" s="100"/>
      <c r="V992" s="99"/>
      <c r="W992" s="99"/>
      <c r="Y992" s="47"/>
    </row>
    <row r="993" spans="17:25" ht="15.75" customHeight="1" x14ac:dyDescent="0.25">
      <c r="Q993" s="99"/>
      <c r="R993" s="99"/>
      <c r="S993" s="99"/>
      <c r="T993" s="100"/>
      <c r="V993" s="99"/>
      <c r="W993" s="99"/>
      <c r="Y993" s="47"/>
    </row>
    <row r="994" spans="17:25" ht="15.75" customHeight="1" x14ac:dyDescent="0.25">
      <c r="Q994" s="99"/>
      <c r="R994" s="99"/>
      <c r="S994" s="99"/>
      <c r="T994" s="100"/>
      <c r="V994" s="99"/>
      <c r="W994" s="99"/>
      <c r="Y994" s="47"/>
    </row>
    <row r="995" spans="17:25" ht="15.75" customHeight="1" x14ac:dyDescent="0.25">
      <c r="Q995" s="99"/>
      <c r="R995" s="99"/>
      <c r="S995" s="99"/>
      <c r="T995" s="100"/>
      <c r="V995" s="99"/>
      <c r="W995" s="99"/>
      <c r="Y995" s="47"/>
    </row>
    <row r="996" spans="17:25" ht="15.75" customHeight="1" x14ac:dyDescent="0.25">
      <c r="Q996" s="99"/>
      <c r="R996" s="99"/>
      <c r="S996" s="99"/>
      <c r="T996" s="100"/>
      <c r="V996" s="99"/>
      <c r="W996" s="99"/>
      <c r="Y996" s="47"/>
    </row>
    <row r="997" spans="17:25" ht="15.75" customHeight="1" x14ac:dyDescent="0.25">
      <c r="Q997" s="99"/>
      <c r="R997" s="99"/>
      <c r="S997" s="99"/>
      <c r="T997" s="100"/>
      <c r="V997" s="99"/>
      <c r="W997" s="99"/>
      <c r="Y997" s="47"/>
    </row>
    <row r="998" spans="17:25" ht="15.75" customHeight="1" x14ac:dyDescent="0.25">
      <c r="Q998" s="99"/>
      <c r="R998" s="99"/>
      <c r="S998" s="99"/>
      <c r="T998" s="100"/>
      <c r="V998" s="99"/>
      <c r="W998" s="99"/>
      <c r="Y998" s="47"/>
    </row>
    <row r="999" spans="17:25" ht="15.75" customHeight="1" x14ac:dyDescent="0.25">
      <c r="Q999" s="99"/>
      <c r="R999" s="99"/>
      <c r="S999" s="99"/>
      <c r="T999" s="100"/>
      <c r="V999" s="99"/>
      <c r="W999" s="99"/>
      <c r="Y999" s="47"/>
    </row>
    <row r="1000" spans="17:25" ht="15.75" customHeight="1" x14ac:dyDescent="0.25">
      <c r="Q1000" s="99"/>
      <c r="R1000" s="99"/>
      <c r="S1000" s="99"/>
      <c r="T1000" s="100"/>
      <c r="V1000" s="99"/>
      <c r="W1000" s="99"/>
      <c r="Y1000" s="47"/>
    </row>
    <row r="1001" spans="17:25" ht="15.75" customHeight="1" x14ac:dyDescent="0.25">
      <c r="Q1001" s="99"/>
      <c r="R1001" s="99"/>
      <c r="S1001" s="99"/>
      <c r="T1001" s="100"/>
      <c r="V1001" s="99"/>
      <c r="W1001" s="99"/>
      <c r="Y1001" s="47"/>
    </row>
    <row r="1002" spans="17:25" ht="15.75" customHeight="1" x14ac:dyDescent="0.25">
      <c r="Q1002" s="99"/>
      <c r="R1002" s="99"/>
      <c r="S1002" s="99"/>
      <c r="T1002" s="100"/>
      <c r="V1002" s="99"/>
      <c r="W1002" s="99"/>
      <c r="Y1002" s="47"/>
    </row>
    <row r="1003" spans="17:25" ht="15.75" customHeight="1" x14ac:dyDescent="0.25">
      <c r="Q1003" s="99"/>
      <c r="R1003" s="99"/>
      <c r="S1003" s="99"/>
      <c r="T1003" s="100"/>
      <c r="V1003" s="99"/>
      <c r="W1003" s="99"/>
      <c r="Y1003" s="47"/>
    </row>
    <row r="1004" spans="17:25" ht="15.75" customHeight="1" x14ac:dyDescent="0.25">
      <c r="Q1004" s="99"/>
      <c r="R1004" s="99"/>
      <c r="S1004" s="99"/>
      <c r="T1004" s="100"/>
      <c r="V1004" s="99"/>
      <c r="W1004" s="99"/>
      <c r="Y1004" s="47"/>
    </row>
    <row r="1005" spans="17:25" ht="15.75" customHeight="1" x14ac:dyDescent="0.25">
      <c r="Q1005" s="99"/>
      <c r="R1005" s="99"/>
      <c r="S1005" s="99"/>
      <c r="T1005" s="100"/>
      <c r="V1005" s="99"/>
      <c r="W1005" s="99"/>
      <c r="Y1005" s="47"/>
    </row>
    <row r="1006" spans="17:25" ht="15.75" customHeight="1" x14ac:dyDescent="0.25">
      <c r="Q1006" s="99"/>
      <c r="R1006" s="99"/>
      <c r="S1006" s="99"/>
      <c r="T1006" s="100"/>
      <c r="V1006" s="99"/>
      <c r="W1006" s="99"/>
      <c r="Y1006" s="47"/>
    </row>
    <row r="1007" spans="17:25" ht="15.75" customHeight="1" x14ac:dyDescent="0.25">
      <c r="Q1007" s="99"/>
      <c r="R1007" s="99"/>
      <c r="S1007" s="99"/>
      <c r="T1007" s="100"/>
      <c r="V1007" s="99"/>
      <c r="W1007" s="99"/>
      <c r="Y1007" s="47"/>
    </row>
    <row r="1008" spans="17:25" ht="15.75" customHeight="1" x14ac:dyDescent="0.25">
      <c r="Q1008" s="99"/>
      <c r="R1008" s="99"/>
      <c r="S1008" s="99"/>
      <c r="T1008" s="100"/>
      <c r="V1008" s="99"/>
      <c r="W1008" s="99"/>
      <c r="Y1008" s="47"/>
    </row>
    <row r="1009" spans="17:25" ht="15.75" customHeight="1" x14ac:dyDescent="0.25">
      <c r="Q1009" s="99"/>
      <c r="R1009" s="99"/>
      <c r="S1009" s="99"/>
      <c r="T1009" s="100"/>
      <c r="V1009" s="99"/>
      <c r="W1009" s="99"/>
      <c r="Y1009" s="47"/>
    </row>
    <row r="1010" spans="17:25" ht="15.75" customHeight="1" x14ac:dyDescent="0.25">
      <c r="Q1010" s="99"/>
      <c r="R1010" s="99"/>
      <c r="S1010" s="99"/>
      <c r="T1010" s="100"/>
      <c r="V1010" s="99"/>
      <c r="W1010" s="99"/>
      <c r="Y1010" s="47"/>
    </row>
    <row r="1011" spans="17:25" ht="15.75" customHeight="1" x14ac:dyDescent="0.25">
      <c r="Q1011" s="99"/>
      <c r="R1011" s="99"/>
      <c r="S1011" s="99"/>
      <c r="T1011" s="100"/>
      <c r="V1011" s="99"/>
      <c r="W1011" s="99"/>
      <c r="Y1011" s="47"/>
    </row>
    <row r="1012" spans="17:25" ht="15.75" customHeight="1" x14ac:dyDescent="0.25">
      <c r="Q1012" s="99"/>
      <c r="R1012" s="99"/>
      <c r="S1012" s="99"/>
      <c r="T1012" s="100"/>
      <c r="V1012" s="99"/>
      <c r="W1012" s="99"/>
      <c r="Y1012" s="47"/>
    </row>
    <row r="1013" spans="17:25" ht="15.75" customHeight="1" x14ac:dyDescent="0.25">
      <c r="Q1013" s="99"/>
      <c r="R1013" s="99"/>
      <c r="S1013" s="99"/>
      <c r="T1013" s="100"/>
      <c r="V1013" s="99"/>
      <c r="W1013" s="99"/>
      <c r="Y1013" s="47"/>
    </row>
    <row r="1014" spans="17:25" ht="15.75" customHeight="1" x14ac:dyDescent="0.25">
      <c r="Q1014" s="99"/>
      <c r="R1014" s="99"/>
      <c r="S1014" s="99"/>
      <c r="T1014" s="100"/>
      <c r="V1014" s="99"/>
      <c r="W1014" s="99"/>
      <c r="Y1014" s="47"/>
    </row>
    <row r="1015" spans="17:25" ht="15.75" customHeight="1" x14ac:dyDescent="0.25">
      <c r="Q1015" s="99"/>
      <c r="R1015" s="99"/>
      <c r="S1015" s="99"/>
      <c r="T1015" s="100"/>
      <c r="V1015" s="99"/>
      <c r="W1015" s="99"/>
      <c r="Y1015" s="47"/>
    </row>
    <row r="1016" spans="17:25" ht="15.75" customHeight="1" x14ac:dyDescent="0.25">
      <c r="Q1016" s="99"/>
      <c r="R1016" s="99"/>
      <c r="S1016" s="99"/>
      <c r="T1016" s="100"/>
      <c r="V1016" s="99"/>
      <c r="W1016" s="99"/>
      <c r="Y1016" s="47"/>
    </row>
    <row r="1017" spans="17:25" ht="15.75" customHeight="1" x14ac:dyDescent="0.25">
      <c r="Q1017" s="99"/>
      <c r="R1017" s="99"/>
      <c r="S1017" s="99"/>
      <c r="T1017" s="100"/>
      <c r="V1017" s="99"/>
      <c r="W1017" s="99"/>
      <c r="Y1017" s="47"/>
    </row>
    <row r="1018" spans="17:25" ht="15.75" customHeight="1" x14ac:dyDescent="0.25">
      <c r="Q1018" s="99"/>
      <c r="R1018" s="99"/>
      <c r="S1018" s="99"/>
      <c r="T1018" s="100"/>
      <c r="V1018" s="99"/>
      <c r="W1018" s="99"/>
      <c r="Y1018" s="47"/>
    </row>
    <row r="1019" spans="17:25" ht="15.75" customHeight="1" x14ac:dyDescent="0.25">
      <c r="Q1019" s="99"/>
      <c r="R1019" s="99"/>
      <c r="S1019" s="99"/>
      <c r="T1019" s="100"/>
      <c r="V1019" s="99"/>
      <c r="W1019" s="99"/>
      <c r="Y1019" s="47"/>
    </row>
    <row r="1020" spans="17:25" ht="15.75" customHeight="1" x14ac:dyDescent="0.25">
      <c r="Q1020" s="99"/>
      <c r="R1020" s="99"/>
      <c r="S1020" s="99"/>
      <c r="T1020" s="100"/>
      <c r="V1020" s="99"/>
      <c r="W1020" s="99"/>
      <c r="Y1020" s="47"/>
    </row>
    <row r="1021" spans="17:25" ht="15.75" customHeight="1" x14ac:dyDescent="0.25">
      <c r="Q1021" s="99"/>
      <c r="R1021" s="99"/>
      <c r="S1021" s="99"/>
      <c r="T1021" s="100"/>
      <c r="V1021" s="99"/>
      <c r="W1021" s="99"/>
      <c r="Y1021" s="47"/>
    </row>
    <row r="1022" spans="17:25" ht="15.75" customHeight="1" x14ac:dyDescent="0.25">
      <c r="Q1022" s="99"/>
      <c r="R1022" s="99"/>
      <c r="S1022" s="99"/>
      <c r="T1022" s="100"/>
      <c r="V1022" s="99"/>
      <c r="W1022" s="99"/>
      <c r="Y1022" s="47"/>
    </row>
    <row r="1023" spans="17:25" ht="15.75" customHeight="1" x14ac:dyDescent="0.25">
      <c r="Q1023" s="99"/>
      <c r="R1023" s="99"/>
      <c r="S1023" s="99"/>
      <c r="T1023" s="100"/>
      <c r="V1023" s="99"/>
      <c r="W1023" s="99"/>
      <c r="Y1023" s="47"/>
    </row>
  </sheetData>
  <autoFilter ref="A1:W35" xr:uid="{00000000-0009-0000-0000-000003000000}"/>
  <hyperlinks>
    <hyperlink ref="U2" r:id="rId1" xr:uid="{00000000-0004-0000-0300-000000000000}"/>
    <hyperlink ref="U3" r:id="rId2" xr:uid="{00000000-0004-0000-0300-000001000000}"/>
    <hyperlink ref="U4" r:id="rId3" xr:uid="{00000000-0004-0000-0300-000002000000}"/>
    <hyperlink ref="U5" r:id="rId4" xr:uid="{00000000-0004-0000-0300-000003000000}"/>
    <hyperlink ref="U6" r:id="rId5" xr:uid="{00000000-0004-0000-0300-000004000000}"/>
    <hyperlink ref="U7" r:id="rId6" xr:uid="{00000000-0004-0000-0300-000005000000}"/>
    <hyperlink ref="U8" r:id="rId7" xr:uid="{00000000-0004-0000-0300-000006000000}"/>
    <hyperlink ref="U9" r:id="rId8" xr:uid="{00000000-0004-0000-0300-000007000000}"/>
    <hyperlink ref="U10" r:id="rId9" xr:uid="{00000000-0004-0000-0300-000008000000}"/>
    <hyperlink ref="U11" r:id="rId10" xr:uid="{00000000-0004-0000-0300-000009000000}"/>
    <hyperlink ref="U12" r:id="rId11" xr:uid="{00000000-0004-0000-0300-00000A000000}"/>
    <hyperlink ref="U13" r:id="rId12" xr:uid="{00000000-0004-0000-0300-00000B000000}"/>
    <hyperlink ref="U14" r:id="rId13" xr:uid="{00000000-0004-0000-0300-00000C000000}"/>
    <hyperlink ref="U15" r:id="rId14" xr:uid="{00000000-0004-0000-0300-00000D000000}"/>
    <hyperlink ref="U16" r:id="rId15" xr:uid="{00000000-0004-0000-0300-00000E000000}"/>
    <hyperlink ref="U17" r:id="rId16" xr:uid="{00000000-0004-0000-0300-00000F000000}"/>
    <hyperlink ref="U18" r:id="rId17" xr:uid="{00000000-0004-0000-0300-000010000000}"/>
    <hyperlink ref="U19" r:id="rId18" xr:uid="{00000000-0004-0000-0300-000011000000}"/>
    <hyperlink ref="U20" r:id="rId19" xr:uid="{00000000-0004-0000-0300-000012000000}"/>
    <hyperlink ref="U21" r:id="rId20" xr:uid="{00000000-0004-0000-0300-000013000000}"/>
    <hyperlink ref="U22" r:id="rId21" xr:uid="{00000000-0004-0000-0300-000014000000}"/>
    <hyperlink ref="U23" r:id="rId22" xr:uid="{00000000-0004-0000-0300-000015000000}"/>
    <hyperlink ref="U24" r:id="rId23" xr:uid="{00000000-0004-0000-0300-000016000000}"/>
    <hyperlink ref="U25" r:id="rId24" xr:uid="{00000000-0004-0000-0300-000017000000}"/>
    <hyperlink ref="U26" r:id="rId25" xr:uid="{00000000-0004-0000-0300-000018000000}"/>
    <hyperlink ref="U27" r:id="rId26" xr:uid="{00000000-0004-0000-0300-000019000000}"/>
    <hyperlink ref="U28" r:id="rId27" xr:uid="{00000000-0004-0000-0300-00001A000000}"/>
    <hyperlink ref="U29" r:id="rId28" xr:uid="{00000000-0004-0000-0300-00001B000000}"/>
    <hyperlink ref="U30" r:id="rId29" xr:uid="{00000000-0004-0000-0300-00001C000000}"/>
    <hyperlink ref="U31" r:id="rId30" xr:uid="{00000000-0004-0000-0300-00001D000000}"/>
    <hyperlink ref="U32" r:id="rId31" xr:uid="{00000000-0004-0000-0300-00001E000000}"/>
    <hyperlink ref="U34" r:id="rId32" xr:uid="{00000000-0004-0000-0300-00001F000000}"/>
    <hyperlink ref="U35" r:id="rId33" xr:uid="{00000000-0004-0000-0300-000020000000}"/>
    <hyperlink ref="U36" r:id="rId34" xr:uid="{00000000-0004-0000-0300-000021000000}"/>
    <hyperlink ref="U37" r:id="rId35" xr:uid="{00000000-0004-0000-0300-000022000000}"/>
    <hyperlink ref="U38" r:id="rId36" xr:uid="{00000000-0004-0000-0300-000023000000}"/>
    <hyperlink ref="U39" r:id="rId37" xr:uid="{00000000-0004-0000-0300-000024000000}"/>
    <hyperlink ref="U40" r:id="rId38" xr:uid="{00000000-0004-0000-0300-000025000000}"/>
    <hyperlink ref="U41" r:id="rId39" xr:uid="{00000000-0004-0000-0300-000026000000}"/>
    <hyperlink ref="U42" r:id="rId40" xr:uid="{00000000-0004-0000-0300-000027000000}"/>
    <hyperlink ref="U43" r:id="rId41" xr:uid="{00000000-0004-0000-0300-000028000000}"/>
    <hyperlink ref="U44" r:id="rId42" xr:uid="{00000000-0004-0000-0300-000029000000}"/>
    <hyperlink ref="U45" r:id="rId43" xr:uid="{00000000-0004-0000-0300-00002A000000}"/>
    <hyperlink ref="U46" r:id="rId44" xr:uid="{00000000-0004-0000-0300-00002B000000}"/>
    <hyperlink ref="U47" r:id="rId45" xr:uid="{00000000-0004-0000-0300-00002C000000}"/>
    <hyperlink ref="U48" r:id="rId46" xr:uid="{00000000-0004-0000-0300-00002D000000}"/>
    <hyperlink ref="U49" r:id="rId47" xr:uid="{00000000-0004-0000-0300-00002E000000}"/>
    <hyperlink ref="U50" r:id="rId48" xr:uid="{00000000-0004-0000-0300-00002F000000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zoomScale="77" zoomScaleNormal="77" workbookViewId="0">
      <pane ySplit="1" topLeftCell="A2" activePane="bottomLeft" state="frozen"/>
      <selection pane="bottomLeft" sqref="A1:XFD1"/>
    </sheetView>
  </sheetViews>
  <sheetFormatPr defaultColWidth="14.42578125" defaultRowHeight="15" customHeight="1" x14ac:dyDescent="0.25"/>
  <cols>
    <col min="1" max="4" width="20.7109375" customWidth="1"/>
    <col min="5" max="5" width="10.7109375" customWidth="1"/>
    <col min="6" max="6" width="40.7109375" customWidth="1"/>
    <col min="7" max="7" width="40.5703125" customWidth="1"/>
    <col min="8" max="13" width="20.7109375" customWidth="1"/>
    <col min="14" max="14" width="36.7109375" customWidth="1"/>
    <col min="15" max="15" width="20.7109375" customWidth="1"/>
    <col min="16" max="17" width="24.140625" customWidth="1"/>
    <col min="18" max="18" width="20.42578125" customWidth="1"/>
    <col min="19" max="30" width="8.7109375" customWidth="1"/>
  </cols>
  <sheetData>
    <row r="1" spans="1:30" ht="39.950000000000003" customHeight="1" x14ac:dyDescent="0.25">
      <c r="A1" s="73" t="s">
        <v>0</v>
      </c>
      <c r="B1" s="73" t="s">
        <v>1</v>
      </c>
      <c r="C1" s="73" t="s">
        <v>3</v>
      </c>
      <c r="D1" s="73" t="s">
        <v>4</v>
      </c>
      <c r="E1" s="73" t="s">
        <v>5</v>
      </c>
      <c r="F1" s="73" t="s">
        <v>6</v>
      </c>
      <c r="G1" s="73" t="s">
        <v>7</v>
      </c>
      <c r="H1" s="73" t="s">
        <v>10</v>
      </c>
      <c r="I1" s="73" t="s">
        <v>376</v>
      </c>
      <c r="J1" s="73" t="s">
        <v>377</v>
      </c>
      <c r="K1" s="73" t="s">
        <v>16</v>
      </c>
      <c r="L1" s="73" t="s">
        <v>17</v>
      </c>
      <c r="M1" s="73" t="s">
        <v>18</v>
      </c>
      <c r="N1" s="73" t="s">
        <v>19</v>
      </c>
      <c r="O1" s="160" t="s">
        <v>21</v>
      </c>
      <c r="P1" s="161" t="s">
        <v>378</v>
      </c>
      <c r="Q1" s="162" t="s">
        <v>379</v>
      </c>
    </row>
    <row r="2" spans="1:30" ht="39.950000000000003" customHeight="1" x14ac:dyDescent="0.25">
      <c r="A2" s="83" t="s">
        <v>380</v>
      </c>
      <c r="B2" s="83" t="s">
        <v>381</v>
      </c>
      <c r="C2" s="83" t="s">
        <v>382</v>
      </c>
      <c r="D2" s="83" t="s">
        <v>383</v>
      </c>
      <c r="E2" s="83">
        <v>1</v>
      </c>
      <c r="F2" s="83" t="s">
        <v>384</v>
      </c>
      <c r="G2" s="83" t="s">
        <v>385</v>
      </c>
      <c r="H2" s="163">
        <v>0.01</v>
      </c>
      <c r="I2" s="163"/>
      <c r="J2" s="163">
        <v>4.2300000000000004</v>
      </c>
      <c r="K2" s="164">
        <v>4.2300000000000004</v>
      </c>
      <c r="L2" s="163">
        <v>2.2999999999999998</v>
      </c>
      <c r="M2" s="165" t="s">
        <v>34</v>
      </c>
      <c r="N2" s="166" t="s">
        <v>386</v>
      </c>
      <c r="O2" s="164">
        <v>2.2999999999999998</v>
      </c>
      <c r="P2" s="167" t="s">
        <v>387</v>
      </c>
      <c r="Q2" s="168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</row>
    <row r="3" spans="1:30" ht="39.950000000000003" customHeight="1" x14ac:dyDescent="0.25">
      <c r="A3" s="83" t="s">
        <v>380</v>
      </c>
      <c r="B3" s="83" t="s">
        <v>381</v>
      </c>
      <c r="C3" s="83" t="s">
        <v>382</v>
      </c>
      <c r="D3" s="83" t="s">
        <v>383</v>
      </c>
      <c r="E3" s="83">
        <v>2</v>
      </c>
      <c r="F3" s="83" t="s">
        <v>388</v>
      </c>
      <c r="G3" s="83" t="s">
        <v>389</v>
      </c>
      <c r="H3" s="163">
        <v>6.5000000000000002E-2</v>
      </c>
      <c r="I3" s="163">
        <v>2100</v>
      </c>
      <c r="J3" s="163"/>
      <c r="K3" s="164">
        <f>H3*I3</f>
        <v>136.5</v>
      </c>
      <c r="L3" s="163">
        <v>0.14599999999999999</v>
      </c>
      <c r="M3" s="165" t="s">
        <v>390</v>
      </c>
      <c r="N3" s="169" t="s">
        <v>391</v>
      </c>
      <c r="O3" s="164">
        <f>K3*L3</f>
        <v>19.928999999999998</v>
      </c>
      <c r="P3" s="167" t="s">
        <v>387</v>
      </c>
      <c r="Q3" s="167" t="s">
        <v>392</v>
      </c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</row>
    <row r="4" spans="1:30" ht="39.950000000000003" customHeight="1" x14ac:dyDescent="0.25">
      <c r="A4" s="83" t="s">
        <v>380</v>
      </c>
      <c r="B4" s="83" t="s">
        <v>381</v>
      </c>
      <c r="C4" s="83" t="s">
        <v>382</v>
      </c>
      <c r="D4" s="83" t="s">
        <v>383</v>
      </c>
      <c r="E4" s="83">
        <v>3</v>
      </c>
      <c r="F4" s="83" t="s">
        <v>362</v>
      </c>
      <c r="G4" s="83" t="s">
        <v>393</v>
      </c>
      <c r="H4" s="163"/>
      <c r="I4" s="163"/>
      <c r="J4" s="163">
        <v>0.16</v>
      </c>
      <c r="K4" s="83">
        <v>0.16</v>
      </c>
      <c r="L4" s="83">
        <v>0.44500000000000001</v>
      </c>
      <c r="M4" s="170" t="s">
        <v>34</v>
      </c>
      <c r="N4" s="171" t="s">
        <v>394</v>
      </c>
      <c r="O4" s="87">
        <v>0.44500000000000001</v>
      </c>
      <c r="P4" s="167" t="s">
        <v>387</v>
      </c>
      <c r="Q4" s="167" t="s">
        <v>395</v>
      </c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</row>
    <row r="5" spans="1:30" ht="39.950000000000003" customHeight="1" x14ac:dyDescent="0.25">
      <c r="A5" s="83" t="s">
        <v>380</v>
      </c>
      <c r="B5" s="83" t="s">
        <v>381</v>
      </c>
      <c r="C5" s="83" t="s">
        <v>382</v>
      </c>
      <c r="D5" s="83" t="s">
        <v>383</v>
      </c>
      <c r="E5" s="83">
        <v>4</v>
      </c>
      <c r="F5" s="83" t="s">
        <v>396</v>
      </c>
      <c r="G5" s="83" t="s">
        <v>397</v>
      </c>
      <c r="H5" s="163">
        <v>7.0000000000000001E-3</v>
      </c>
      <c r="I5" s="163">
        <v>2400</v>
      </c>
      <c r="J5" s="163"/>
      <c r="K5" s="164">
        <f t="shared" ref="K5:K6" si="0">H5*I5</f>
        <v>16.8</v>
      </c>
      <c r="L5" s="163">
        <v>0.75800000000000001</v>
      </c>
      <c r="M5" s="165" t="s">
        <v>390</v>
      </c>
      <c r="N5" s="169" t="s">
        <v>398</v>
      </c>
      <c r="O5" s="164">
        <f t="shared" ref="O5:O6" si="1">K5*L5</f>
        <v>12.734400000000001</v>
      </c>
      <c r="P5" s="167" t="s">
        <v>387</v>
      </c>
      <c r="Q5" s="167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</row>
    <row r="6" spans="1:30" ht="39.950000000000003" customHeight="1" x14ac:dyDescent="0.25">
      <c r="A6" s="83" t="s">
        <v>380</v>
      </c>
      <c r="B6" s="83" t="s">
        <v>381</v>
      </c>
      <c r="C6" s="83" t="s">
        <v>382</v>
      </c>
      <c r="D6" s="83" t="s">
        <v>383</v>
      </c>
      <c r="E6" s="83">
        <v>5</v>
      </c>
      <c r="F6" s="83" t="s">
        <v>399</v>
      </c>
      <c r="G6" s="83" t="s">
        <v>400</v>
      </c>
      <c r="H6" s="163">
        <v>2E-3</v>
      </c>
      <c r="I6" s="163">
        <v>2070</v>
      </c>
      <c r="J6" s="163"/>
      <c r="K6" s="164">
        <f t="shared" si="0"/>
        <v>4.1399999999999997</v>
      </c>
      <c r="L6" s="163">
        <v>0.62</v>
      </c>
      <c r="M6" s="165" t="s">
        <v>390</v>
      </c>
      <c r="N6" s="169" t="s">
        <v>401</v>
      </c>
      <c r="O6" s="164">
        <f t="shared" si="1"/>
        <v>2.5667999999999997</v>
      </c>
      <c r="P6" s="167" t="s">
        <v>387</v>
      </c>
      <c r="Q6" s="167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</row>
    <row r="7" spans="1:30" ht="39.950000000000003" customHeight="1" x14ac:dyDescent="0.25">
      <c r="A7" s="172" t="s">
        <v>380</v>
      </c>
      <c r="B7" s="172" t="s">
        <v>402</v>
      </c>
      <c r="C7" s="172" t="s">
        <v>403</v>
      </c>
      <c r="D7" s="172" t="s">
        <v>383</v>
      </c>
      <c r="E7" s="172">
        <v>1</v>
      </c>
      <c r="F7" s="172" t="s">
        <v>404</v>
      </c>
      <c r="G7" s="33" t="s">
        <v>405</v>
      </c>
      <c r="H7" s="33">
        <v>5.0000000000000001E-3</v>
      </c>
      <c r="I7" s="172"/>
      <c r="J7" s="33">
        <v>1.55</v>
      </c>
      <c r="K7" s="33">
        <v>1.55</v>
      </c>
      <c r="L7" s="33">
        <v>0.439</v>
      </c>
      <c r="M7" s="173" t="s">
        <v>34</v>
      </c>
      <c r="N7" s="174" t="s">
        <v>406</v>
      </c>
      <c r="O7" s="39">
        <v>0.439</v>
      </c>
      <c r="P7" s="175" t="s">
        <v>387</v>
      </c>
      <c r="Q7" s="175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</row>
    <row r="8" spans="1:30" ht="39.950000000000003" customHeight="1" x14ac:dyDescent="0.25">
      <c r="A8" s="172" t="s">
        <v>380</v>
      </c>
      <c r="B8" s="172" t="s">
        <v>402</v>
      </c>
      <c r="C8" s="172" t="s">
        <v>403</v>
      </c>
      <c r="D8" s="172" t="s">
        <v>383</v>
      </c>
      <c r="E8" s="172">
        <v>2</v>
      </c>
      <c r="F8" s="172" t="s">
        <v>407</v>
      </c>
      <c r="G8" s="33" t="s">
        <v>408</v>
      </c>
      <c r="H8" s="172">
        <v>2E-3</v>
      </c>
      <c r="I8" s="172"/>
      <c r="J8" s="172">
        <v>8.3000000000000004E-2</v>
      </c>
      <c r="K8" s="172">
        <v>8.3000000000000004E-2</v>
      </c>
      <c r="L8" s="172">
        <v>0.28299999999999997</v>
      </c>
      <c r="M8" s="176" t="s">
        <v>390</v>
      </c>
      <c r="N8" s="174" t="s">
        <v>409</v>
      </c>
      <c r="O8" s="177">
        <f>K8*L8</f>
        <v>2.3488999999999999E-2</v>
      </c>
      <c r="P8" s="175" t="s">
        <v>387</v>
      </c>
      <c r="Q8" s="178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</row>
    <row r="9" spans="1:30" ht="39.950000000000003" customHeight="1" x14ac:dyDescent="0.25">
      <c r="A9" s="172" t="s">
        <v>380</v>
      </c>
      <c r="B9" s="172" t="s">
        <v>402</v>
      </c>
      <c r="C9" s="172" t="s">
        <v>403</v>
      </c>
      <c r="D9" s="172" t="s">
        <v>383</v>
      </c>
      <c r="E9" s="172">
        <v>3</v>
      </c>
      <c r="F9" s="172" t="s">
        <v>410</v>
      </c>
      <c r="G9" s="33" t="s">
        <v>411</v>
      </c>
      <c r="H9" s="172">
        <v>3.5000000000000003E-2</v>
      </c>
      <c r="I9" s="172"/>
      <c r="J9" s="33">
        <v>3.75</v>
      </c>
      <c r="K9" s="33">
        <v>3.75</v>
      </c>
      <c r="L9" s="33">
        <v>7.46</v>
      </c>
      <c r="M9" s="173" t="s">
        <v>34</v>
      </c>
      <c r="N9" s="174" t="s">
        <v>412</v>
      </c>
      <c r="O9" s="39">
        <v>7.46</v>
      </c>
      <c r="P9" s="175" t="s">
        <v>387</v>
      </c>
      <c r="Q9" s="175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</row>
    <row r="10" spans="1:30" ht="39.950000000000003" customHeight="1" x14ac:dyDescent="0.25">
      <c r="A10" s="83" t="s">
        <v>380</v>
      </c>
      <c r="B10" s="83" t="s">
        <v>413</v>
      </c>
      <c r="C10" s="83" t="s">
        <v>414</v>
      </c>
      <c r="D10" s="83" t="s">
        <v>383</v>
      </c>
      <c r="E10" s="83">
        <v>1</v>
      </c>
      <c r="F10" s="83" t="s">
        <v>404</v>
      </c>
      <c r="G10" s="163" t="s">
        <v>405</v>
      </c>
      <c r="H10" s="163">
        <v>5.0000000000000001E-3</v>
      </c>
      <c r="I10" s="83"/>
      <c r="J10" s="163">
        <v>1.55</v>
      </c>
      <c r="K10" s="163">
        <v>1.55</v>
      </c>
      <c r="L10" s="163">
        <v>0.439</v>
      </c>
      <c r="M10" s="165" t="s">
        <v>34</v>
      </c>
      <c r="N10" s="166" t="s">
        <v>415</v>
      </c>
      <c r="O10" s="164">
        <v>0.439</v>
      </c>
      <c r="P10" s="167" t="s">
        <v>387</v>
      </c>
      <c r="Q10" s="167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</row>
    <row r="11" spans="1:30" ht="39.950000000000003" customHeight="1" x14ac:dyDescent="0.25">
      <c r="A11" s="83" t="s">
        <v>380</v>
      </c>
      <c r="B11" s="83" t="s">
        <v>413</v>
      </c>
      <c r="C11" s="83" t="s">
        <v>414</v>
      </c>
      <c r="D11" s="83" t="s">
        <v>383</v>
      </c>
      <c r="E11" s="83">
        <v>2</v>
      </c>
      <c r="F11" s="83" t="s">
        <v>407</v>
      </c>
      <c r="G11" s="163" t="s">
        <v>408</v>
      </c>
      <c r="H11" s="83">
        <v>3.5000000000000003E-2</v>
      </c>
      <c r="I11" s="83"/>
      <c r="J11" s="83">
        <v>8.3000000000000004E-2</v>
      </c>
      <c r="K11" s="83">
        <v>8.3000000000000004E-2</v>
      </c>
      <c r="L11" s="83">
        <v>0.28299999999999997</v>
      </c>
      <c r="M11" s="170" t="s">
        <v>44</v>
      </c>
      <c r="N11" s="166" t="s">
        <v>416</v>
      </c>
      <c r="O11" s="179">
        <f>K11*L11</f>
        <v>2.3488999999999999E-2</v>
      </c>
      <c r="P11" s="167" t="s">
        <v>387</v>
      </c>
      <c r="Q11" s="180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</row>
    <row r="12" spans="1:30" ht="39.950000000000003" customHeight="1" x14ac:dyDescent="0.25">
      <c r="A12" s="83" t="s">
        <v>380</v>
      </c>
      <c r="B12" s="83" t="s">
        <v>413</v>
      </c>
      <c r="C12" s="83" t="s">
        <v>414</v>
      </c>
      <c r="D12" s="83" t="s">
        <v>383</v>
      </c>
      <c r="E12" s="83">
        <v>3</v>
      </c>
      <c r="F12" s="83" t="s">
        <v>410</v>
      </c>
      <c r="G12" s="163" t="s">
        <v>417</v>
      </c>
      <c r="H12" s="163">
        <v>7.0000000000000001E-3</v>
      </c>
      <c r="I12" s="83"/>
      <c r="J12" s="83">
        <v>6.46</v>
      </c>
      <c r="K12" s="83">
        <v>6.46</v>
      </c>
      <c r="L12" s="83">
        <v>3.53</v>
      </c>
      <c r="M12" s="170" t="s">
        <v>34</v>
      </c>
      <c r="N12" s="166" t="s">
        <v>418</v>
      </c>
      <c r="O12" s="179">
        <v>3.53</v>
      </c>
      <c r="P12" s="167" t="s">
        <v>387</v>
      </c>
      <c r="Q12" s="180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</row>
    <row r="13" spans="1:30" ht="39.950000000000003" customHeight="1" x14ac:dyDescent="0.25">
      <c r="A13" s="172" t="s">
        <v>380</v>
      </c>
      <c r="B13" s="172" t="s">
        <v>419</v>
      </c>
      <c r="C13" s="172" t="s">
        <v>420</v>
      </c>
      <c r="D13" s="172" t="s">
        <v>383</v>
      </c>
      <c r="E13" s="172">
        <v>1</v>
      </c>
      <c r="F13" s="172" t="s">
        <v>404</v>
      </c>
      <c r="G13" s="33" t="s">
        <v>405</v>
      </c>
      <c r="H13" s="33">
        <v>5.0000000000000001E-3</v>
      </c>
      <c r="I13" s="172"/>
      <c r="J13" s="33">
        <v>1.55</v>
      </c>
      <c r="K13" s="33">
        <v>1.55</v>
      </c>
      <c r="L13" s="33">
        <v>0.439</v>
      </c>
      <c r="M13" s="173" t="s">
        <v>34</v>
      </c>
      <c r="N13" s="174" t="s">
        <v>421</v>
      </c>
      <c r="O13" s="39">
        <v>0.439</v>
      </c>
      <c r="P13" s="175" t="s">
        <v>387</v>
      </c>
      <c r="Q13" s="175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</row>
    <row r="14" spans="1:30" ht="39.950000000000003" customHeight="1" x14ac:dyDescent="0.25">
      <c r="A14" s="172" t="s">
        <v>380</v>
      </c>
      <c r="B14" s="172" t="s">
        <v>419</v>
      </c>
      <c r="C14" s="172" t="s">
        <v>420</v>
      </c>
      <c r="D14" s="172" t="s">
        <v>383</v>
      </c>
      <c r="E14" s="172">
        <v>2</v>
      </c>
      <c r="F14" s="172" t="s">
        <v>407</v>
      </c>
      <c r="G14" s="33" t="s">
        <v>408</v>
      </c>
      <c r="H14" s="172">
        <v>3.5000000000000003E-2</v>
      </c>
      <c r="I14" s="172"/>
      <c r="J14" s="172">
        <v>8.3000000000000004E-2</v>
      </c>
      <c r="K14" s="172">
        <v>8.3000000000000004E-2</v>
      </c>
      <c r="L14" s="172">
        <v>0.28299999999999997</v>
      </c>
      <c r="M14" s="176" t="s">
        <v>44</v>
      </c>
      <c r="N14" s="174" t="s">
        <v>422</v>
      </c>
      <c r="O14" s="177">
        <f>K14*L14</f>
        <v>2.3488999999999999E-2</v>
      </c>
      <c r="P14" s="175" t="s">
        <v>387</v>
      </c>
      <c r="Q14" s="178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</row>
    <row r="15" spans="1:30" ht="39.950000000000003" customHeight="1" x14ac:dyDescent="0.25">
      <c r="A15" s="172" t="s">
        <v>380</v>
      </c>
      <c r="B15" s="172" t="s">
        <v>419</v>
      </c>
      <c r="C15" s="172" t="s">
        <v>420</v>
      </c>
      <c r="D15" s="172" t="s">
        <v>383</v>
      </c>
      <c r="E15" s="172">
        <v>3</v>
      </c>
      <c r="F15" s="172" t="s">
        <v>423</v>
      </c>
      <c r="G15" s="33" t="s">
        <v>424</v>
      </c>
      <c r="H15" s="33">
        <v>1.4999999999999999E-2</v>
      </c>
      <c r="I15" s="172"/>
      <c r="J15" s="33">
        <v>8.3000000000000007</v>
      </c>
      <c r="K15" s="33">
        <v>8.3000000000000007</v>
      </c>
      <c r="L15" s="33">
        <v>2.5099999999999998</v>
      </c>
      <c r="M15" s="173" t="s">
        <v>34</v>
      </c>
      <c r="N15" s="174" t="s">
        <v>425</v>
      </c>
      <c r="O15" s="39">
        <v>2.5099999999999998</v>
      </c>
      <c r="P15" s="175" t="s">
        <v>387</v>
      </c>
      <c r="Q15" s="175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</row>
    <row r="16" spans="1:30" ht="39.950000000000003" customHeight="1" x14ac:dyDescent="0.25">
      <c r="A16" s="83" t="s">
        <v>380</v>
      </c>
      <c r="B16" s="83" t="s">
        <v>426</v>
      </c>
      <c r="C16" s="83" t="s">
        <v>427</v>
      </c>
      <c r="D16" s="83" t="s">
        <v>383</v>
      </c>
      <c r="E16" s="83">
        <v>1</v>
      </c>
      <c r="F16" s="83" t="s">
        <v>404</v>
      </c>
      <c r="G16" s="163" t="s">
        <v>405</v>
      </c>
      <c r="H16" s="163">
        <v>5.0000000000000001E-3</v>
      </c>
      <c r="I16" s="83"/>
      <c r="J16" s="163">
        <v>1.55</v>
      </c>
      <c r="K16" s="163">
        <v>1.55</v>
      </c>
      <c r="L16" s="163">
        <v>0.439</v>
      </c>
      <c r="M16" s="165" t="s">
        <v>34</v>
      </c>
      <c r="N16" s="166" t="s">
        <v>428</v>
      </c>
      <c r="O16" s="164">
        <v>0.439</v>
      </c>
      <c r="P16" s="167" t="s">
        <v>387</v>
      </c>
      <c r="Q16" s="167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spans="1:30" ht="39.950000000000003" customHeight="1" x14ac:dyDescent="0.25">
      <c r="A17" s="83" t="s">
        <v>380</v>
      </c>
      <c r="B17" s="83" t="s">
        <v>426</v>
      </c>
      <c r="C17" s="83" t="s">
        <v>427</v>
      </c>
      <c r="D17" s="83" t="s">
        <v>383</v>
      </c>
      <c r="E17" s="83">
        <v>2</v>
      </c>
      <c r="F17" s="83" t="s">
        <v>429</v>
      </c>
      <c r="G17" s="163" t="s">
        <v>430</v>
      </c>
      <c r="H17" s="163">
        <v>8.9999999999999993E-3</v>
      </c>
      <c r="I17" s="163"/>
      <c r="J17" s="163">
        <v>1.5</v>
      </c>
      <c r="K17" s="163">
        <v>1.5</v>
      </c>
      <c r="L17" s="163">
        <v>1.33</v>
      </c>
      <c r="M17" s="165" t="s">
        <v>34</v>
      </c>
      <c r="N17" s="166" t="s">
        <v>431</v>
      </c>
      <c r="O17" s="164">
        <v>1.33</v>
      </c>
      <c r="P17" s="167" t="s">
        <v>387</v>
      </c>
      <c r="Q17" s="167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</row>
    <row r="18" spans="1:30" ht="39.950000000000003" customHeight="1" x14ac:dyDescent="0.25">
      <c r="A18" s="83" t="s">
        <v>380</v>
      </c>
      <c r="B18" s="83" t="s">
        <v>426</v>
      </c>
      <c r="C18" s="83" t="s">
        <v>427</v>
      </c>
      <c r="D18" s="83" t="s">
        <v>383</v>
      </c>
      <c r="E18" s="83">
        <v>3</v>
      </c>
      <c r="F18" s="83" t="s">
        <v>410</v>
      </c>
      <c r="G18" s="163" t="s">
        <v>427</v>
      </c>
      <c r="H18" s="163">
        <v>0.01</v>
      </c>
      <c r="I18" s="163"/>
      <c r="J18" s="163">
        <v>2.38</v>
      </c>
      <c r="K18" s="163">
        <v>2.38</v>
      </c>
      <c r="L18" s="163">
        <v>11.8</v>
      </c>
      <c r="M18" s="165" t="s">
        <v>34</v>
      </c>
      <c r="N18" s="166" t="s">
        <v>432</v>
      </c>
      <c r="O18" s="164">
        <v>11.8</v>
      </c>
      <c r="P18" s="167" t="s">
        <v>387</v>
      </c>
      <c r="Q18" s="167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</row>
    <row r="19" spans="1:30" ht="39.950000000000003" customHeight="1" x14ac:dyDescent="0.25">
      <c r="A19" s="172" t="s">
        <v>380</v>
      </c>
      <c r="B19" s="172" t="s">
        <v>433</v>
      </c>
      <c r="C19" s="172" t="s">
        <v>434</v>
      </c>
      <c r="D19" s="172" t="s">
        <v>383</v>
      </c>
      <c r="E19" s="172">
        <v>1</v>
      </c>
      <c r="F19" s="172" t="s">
        <v>384</v>
      </c>
      <c r="G19" s="33" t="s">
        <v>385</v>
      </c>
      <c r="H19" s="33">
        <v>0.01</v>
      </c>
      <c r="I19" s="172"/>
      <c r="J19" s="33">
        <v>4.2300000000000004</v>
      </c>
      <c r="K19" s="33">
        <v>4.2300000000000004</v>
      </c>
      <c r="L19" s="35">
        <v>2.2999999999999998</v>
      </c>
      <c r="M19" s="173" t="s">
        <v>34</v>
      </c>
      <c r="N19" s="174" t="s">
        <v>435</v>
      </c>
      <c r="O19" s="175">
        <v>2.2999999999999998</v>
      </c>
      <c r="P19" s="175" t="s">
        <v>436</v>
      </c>
      <c r="Q19" s="175" t="s">
        <v>437</v>
      </c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</row>
    <row r="20" spans="1:30" ht="39.950000000000003" customHeight="1" x14ac:dyDescent="0.25">
      <c r="A20" s="172" t="s">
        <v>380</v>
      </c>
      <c r="B20" s="172" t="s">
        <v>433</v>
      </c>
      <c r="C20" s="172" t="s">
        <v>434</v>
      </c>
      <c r="D20" s="172" t="s">
        <v>383</v>
      </c>
      <c r="E20" s="172">
        <v>2</v>
      </c>
      <c r="F20" s="172" t="s">
        <v>388</v>
      </c>
      <c r="G20" s="33" t="s">
        <v>389</v>
      </c>
      <c r="H20" s="172">
        <v>6.5000000000000002E-2</v>
      </c>
      <c r="I20" s="172">
        <v>2100</v>
      </c>
      <c r="J20" s="172"/>
      <c r="K20" s="172">
        <f>H20*I20</f>
        <v>136.5</v>
      </c>
      <c r="L20" s="35">
        <v>0.14599999999999999</v>
      </c>
      <c r="M20" s="173" t="s">
        <v>44</v>
      </c>
      <c r="N20" s="181" t="s">
        <v>438</v>
      </c>
      <c r="O20" s="177">
        <f>K20*L20</f>
        <v>19.928999999999998</v>
      </c>
      <c r="P20" s="175" t="s">
        <v>439</v>
      </c>
      <c r="Q20" s="175" t="s">
        <v>437</v>
      </c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</row>
    <row r="21" spans="1:30" ht="39.950000000000003" customHeight="1" x14ac:dyDescent="0.25">
      <c r="A21" s="172" t="s">
        <v>380</v>
      </c>
      <c r="B21" s="172" t="s">
        <v>433</v>
      </c>
      <c r="C21" s="172" t="s">
        <v>434</v>
      </c>
      <c r="D21" s="172" t="s">
        <v>383</v>
      </c>
      <c r="E21" s="172">
        <v>3</v>
      </c>
      <c r="F21" s="172" t="s">
        <v>362</v>
      </c>
      <c r="G21" s="172" t="s">
        <v>393</v>
      </c>
      <c r="H21" s="33"/>
      <c r="I21" s="33"/>
      <c r="J21" s="33">
        <v>0.16</v>
      </c>
      <c r="K21" s="172">
        <v>0.16</v>
      </c>
      <c r="L21" s="172">
        <v>0.44500000000000001</v>
      </c>
      <c r="M21" s="176" t="s">
        <v>34</v>
      </c>
      <c r="N21" s="182" t="s">
        <v>440</v>
      </c>
      <c r="O21" s="183">
        <v>0.44500000000000001</v>
      </c>
      <c r="P21" s="175" t="s">
        <v>387</v>
      </c>
      <c r="Q21" s="175" t="s">
        <v>395</v>
      </c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</row>
    <row r="22" spans="1:30" ht="15.75" customHeight="1" x14ac:dyDescent="0.25">
      <c r="M22" s="184"/>
      <c r="N22" s="185"/>
      <c r="O22" s="186"/>
      <c r="P22" s="187"/>
      <c r="Q22" s="187"/>
    </row>
    <row r="23" spans="1:30" ht="15.75" customHeight="1" x14ac:dyDescent="0.25">
      <c r="M23" s="184"/>
      <c r="N23" s="185"/>
      <c r="O23" s="186"/>
      <c r="P23" s="187"/>
      <c r="Q23" s="187"/>
    </row>
    <row r="24" spans="1:30" ht="15.75" customHeight="1" x14ac:dyDescent="0.25">
      <c r="M24" s="184"/>
      <c r="N24" s="185"/>
      <c r="O24" s="186"/>
      <c r="P24" s="187"/>
      <c r="Q24" s="187"/>
    </row>
    <row r="25" spans="1:30" ht="15.75" customHeight="1" x14ac:dyDescent="0.25">
      <c r="M25" s="184"/>
      <c r="N25" s="185"/>
      <c r="O25" s="186"/>
      <c r="P25" s="187"/>
      <c r="Q25" s="187"/>
    </row>
    <row r="26" spans="1:30" ht="15.75" customHeight="1" x14ac:dyDescent="0.25">
      <c r="M26" s="184"/>
      <c r="N26" s="185"/>
      <c r="O26" s="186"/>
      <c r="P26" s="187"/>
      <c r="Q26" s="187"/>
    </row>
    <row r="27" spans="1:30" ht="15.75" customHeight="1" x14ac:dyDescent="0.25">
      <c r="M27" s="184"/>
      <c r="N27" s="185"/>
      <c r="O27" s="186"/>
      <c r="P27" s="187"/>
      <c r="Q27" s="187"/>
    </row>
    <row r="28" spans="1:30" ht="15.75" customHeight="1" x14ac:dyDescent="0.25">
      <c r="M28" s="184"/>
      <c r="N28" s="185"/>
      <c r="O28" s="186"/>
      <c r="P28" s="187"/>
      <c r="Q28" s="187"/>
    </row>
    <row r="29" spans="1:30" ht="15.75" customHeight="1" x14ac:dyDescent="0.25">
      <c r="M29" s="184"/>
      <c r="N29" s="185"/>
      <c r="O29" s="186"/>
      <c r="P29" s="187"/>
      <c r="Q29" s="187"/>
    </row>
    <row r="30" spans="1:30" ht="15.75" customHeight="1" x14ac:dyDescent="0.25">
      <c r="M30" s="184"/>
      <c r="N30" s="185"/>
      <c r="O30" s="186"/>
      <c r="P30" s="187"/>
      <c r="Q30" s="187"/>
    </row>
    <row r="31" spans="1:30" ht="15.75" customHeight="1" x14ac:dyDescent="0.25">
      <c r="M31" s="184"/>
      <c r="N31" s="185"/>
      <c r="O31" s="186"/>
      <c r="P31" s="187"/>
      <c r="Q31" s="187"/>
    </row>
    <row r="32" spans="1:30" ht="15.75" customHeight="1" x14ac:dyDescent="0.25">
      <c r="M32" s="184"/>
      <c r="N32" s="185"/>
      <c r="O32" s="186"/>
      <c r="P32" s="187"/>
      <c r="Q32" s="187"/>
    </row>
    <row r="33" spans="13:17" ht="15.75" customHeight="1" x14ac:dyDescent="0.25">
      <c r="M33" s="184"/>
      <c r="N33" s="185"/>
      <c r="O33" s="186"/>
      <c r="P33" s="187"/>
      <c r="Q33" s="187"/>
    </row>
    <row r="34" spans="13:17" ht="15.75" customHeight="1" x14ac:dyDescent="0.25">
      <c r="M34" s="184"/>
      <c r="N34" s="185"/>
      <c r="O34" s="186"/>
      <c r="P34" s="187"/>
      <c r="Q34" s="187"/>
    </row>
    <row r="35" spans="13:17" ht="15.75" customHeight="1" x14ac:dyDescent="0.25">
      <c r="M35" s="184"/>
      <c r="N35" s="185"/>
      <c r="O35" s="186"/>
      <c r="P35" s="187"/>
      <c r="Q35" s="187"/>
    </row>
    <row r="36" spans="13:17" ht="15.75" customHeight="1" x14ac:dyDescent="0.25">
      <c r="M36" s="184"/>
      <c r="N36" s="185"/>
      <c r="O36" s="186"/>
      <c r="P36" s="187"/>
      <c r="Q36" s="187"/>
    </row>
    <row r="37" spans="13:17" ht="15.75" customHeight="1" x14ac:dyDescent="0.25">
      <c r="M37" s="184"/>
      <c r="N37" s="185"/>
      <c r="O37" s="186"/>
      <c r="P37" s="187"/>
      <c r="Q37" s="187"/>
    </row>
    <row r="38" spans="13:17" ht="15.75" customHeight="1" x14ac:dyDescent="0.25">
      <c r="M38" s="184"/>
      <c r="N38" s="185"/>
      <c r="O38" s="186"/>
      <c r="P38" s="187"/>
      <c r="Q38" s="187"/>
    </row>
    <row r="39" spans="13:17" ht="15.75" customHeight="1" x14ac:dyDescent="0.25">
      <c r="M39" s="184"/>
      <c r="N39" s="185"/>
      <c r="O39" s="186"/>
      <c r="P39" s="187"/>
      <c r="Q39" s="187"/>
    </row>
    <row r="40" spans="13:17" ht="15.75" customHeight="1" x14ac:dyDescent="0.25">
      <c r="M40" s="184"/>
      <c r="N40" s="185"/>
      <c r="O40" s="186"/>
      <c r="P40" s="187"/>
      <c r="Q40" s="187"/>
    </row>
    <row r="41" spans="13:17" ht="15.75" customHeight="1" x14ac:dyDescent="0.25">
      <c r="M41" s="184"/>
      <c r="N41" s="185"/>
      <c r="O41" s="186"/>
      <c r="P41" s="187"/>
      <c r="Q41" s="187"/>
    </row>
    <row r="42" spans="13:17" ht="15.75" customHeight="1" x14ac:dyDescent="0.25">
      <c r="M42" s="184"/>
      <c r="N42" s="185"/>
      <c r="O42" s="186"/>
      <c r="P42" s="187"/>
      <c r="Q42" s="187"/>
    </row>
    <row r="43" spans="13:17" ht="15.75" customHeight="1" x14ac:dyDescent="0.25">
      <c r="M43" s="184"/>
      <c r="N43" s="185"/>
      <c r="O43" s="186"/>
      <c r="P43" s="187"/>
      <c r="Q43" s="187"/>
    </row>
    <row r="44" spans="13:17" ht="15.75" customHeight="1" x14ac:dyDescent="0.25">
      <c r="M44" s="184"/>
      <c r="N44" s="185"/>
      <c r="O44" s="186"/>
      <c r="P44" s="187"/>
      <c r="Q44" s="187"/>
    </row>
    <row r="45" spans="13:17" ht="15.75" customHeight="1" x14ac:dyDescent="0.25">
      <c r="M45" s="184"/>
      <c r="N45" s="185"/>
      <c r="O45" s="186"/>
      <c r="P45" s="187"/>
      <c r="Q45" s="187"/>
    </row>
    <row r="46" spans="13:17" ht="15.75" customHeight="1" x14ac:dyDescent="0.25">
      <c r="M46" s="184"/>
      <c r="N46" s="185"/>
      <c r="O46" s="186"/>
      <c r="P46" s="187"/>
      <c r="Q46" s="187"/>
    </row>
    <row r="47" spans="13:17" ht="15.75" customHeight="1" x14ac:dyDescent="0.25">
      <c r="M47" s="184"/>
      <c r="N47" s="185"/>
      <c r="O47" s="186"/>
      <c r="P47" s="187"/>
      <c r="Q47" s="187"/>
    </row>
    <row r="48" spans="13:17" ht="15.75" customHeight="1" x14ac:dyDescent="0.25">
      <c r="M48" s="184"/>
      <c r="N48" s="185"/>
      <c r="O48" s="186"/>
      <c r="P48" s="187"/>
      <c r="Q48" s="187"/>
    </row>
    <row r="49" spans="13:17" ht="15.75" customHeight="1" x14ac:dyDescent="0.25">
      <c r="M49" s="184"/>
      <c r="N49" s="185"/>
      <c r="O49" s="186"/>
      <c r="P49" s="187"/>
      <c r="Q49" s="187"/>
    </row>
    <row r="50" spans="13:17" ht="15.75" customHeight="1" x14ac:dyDescent="0.25">
      <c r="M50" s="184"/>
      <c r="N50" s="185"/>
      <c r="O50" s="186"/>
      <c r="P50" s="187"/>
      <c r="Q50" s="187"/>
    </row>
    <row r="51" spans="13:17" ht="15.75" customHeight="1" x14ac:dyDescent="0.25">
      <c r="M51" s="184"/>
      <c r="N51" s="185"/>
      <c r="O51" s="186"/>
      <c r="P51" s="187"/>
      <c r="Q51" s="187"/>
    </row>
    <row r="52" spans="13:17" ht="15.75" customHeight="1" x14ac:dyDescent="0.25">
      <c r="M52" s="184"/>
      <c r="N52" s="185"/>
      <c r="O52" s="186"/>
      <c r="P52" s="187"/>
      <c r="Q52" s="187"/>
    </row>
    <row r="53" spans="13:17" ht="15.75" customHeight="1" x14ac:dyDescent="0.25">
      <c r="M53" s="184"/>
      <c r="N53" s="185"/>
      <c r="O53" s="186"/>
      <c r="P53" s="187"/>
      <c r="Q53" s="187"/>
    </row>
    <row r="54" spans="13:17" ht="15.75" customHeight="1" x14ac:dyDescent="0.25">
      <c r="M54" s="184"/>
      <c r="N54" s="185"/>
      <c r="O54" s="186"/>
      <c r="P54" s="187"/>
      <c r="Q54" s="187"/>
    </row>
    <row r="55" spans="13:17" ht="15.75" customHeight="1" x14ac:dyDescent="0.25">
      <c r="M55" s="184"/>
      <c r="N55" s="185"/>
      <c r="O55" s="186"/>
      <c r="P55" s="187"/>
      <c r="Q55" s="187"/>
    </row>
    <row r="56" spans="13:17" ht="15.75" customHeight="1" x14ac:dyDescent="0.25">
      <c r="M56" s="184"/>
      <c r="N56" s="185"/>
      <c r="O56" s="186"/>
      <c r="P56" s="187"/>
      <c r="Q56" s="187"/>
    </row>
    <row r="57" spans="13:17" ht="15.75" customHeight="1" x14ac:dyDescent="0.25">
      <c r="M57" s="184"/>
      <c r="N57" s="185"/>
      <c r="O57" s="186"/>
      <c r="P57" s="187"/>
      <c r="Q57" s="187"/>
    </row>
    <row r="58" spans="13:17" ht="15.75" customHeight="1" x14ac:dyDescent="0.25">
      <c r="M58" s="184"/>
      <c r="N58" s="185"/>
      <c r="O58" s="186"/>
      <c r="P58" s="187"/>
      <c r="Q58" s="187"/>
    </row>
    <row r="59" spans="13:17" ht="15.75" customHeight="1" x14ac:dyDescent="0.25">
      <c r="M59" s="184"/>
      <c r="N59" s="185"/>
      <c r="O59" s="186"/>
      <c r="P59" s="187"/>
      <c r="Q59" s="187"/>
    </row>
    <row r="60" spans="13:17" ht="15.75" customHeight="1" x14ac:dyDescent="0.25">
      <c r="M60" s="184"/>
      <c r="N60" s="185"/>
      <c r="O60" s="186"/>
      <c r="P60" s="187"/>
      <c r="Q60" s="187"/>
    </row>
    <row r="61" spans="13:17" ht="15.75" customHeight="1" x14ac:dyDescent="0.25">
      <c r="M61" s="184"/>
      <c r="N61" s="185"/>
      <c r="O61" s="186"/>
      <c r="P61" s="187"/>
      <c r="Q61" s="187"/>
    </row>
    <row r="62" spans="13:17" ht="15.75" customHeight="1" x14ac:dyDescent="0.25">
      <c r="M62" s="184"/>
      <c r="N62" s="185"/>
      <c r="O62" s="186"/>
      <c r="P62" s="187"/>
      <c r="Q62" s="187"/>
    </row>
    <row r="63" spans="13:17" ht="15.75" customHeight="1" x14ac:dyDescent="0.25">
      <c r="M63" s="184"/>
      <c r="N63" s="185"/>
      <c r="O63" s="186"/>
      <c r="P63" s="187"/>
      <c r="Q63" s="187"/>
    </row>
    <row r="64" spans="13:17" ht="15.75" customHeight="1" x14ac:dyDescent="0.25">
      <c r="M64" s="184"/>
      <c r="N64" s="185"/>
      <c r="O64" s="186"/>
      <c r="P64" s="187"/>
      <c r="Q64" s="187"/>
    </row>
    <row r="65" spans="13:17" ht="15.75" customHeight="1" x14ac:dyDescent="0.25">
      <c r="M65" s="184"/>
      <c r="N65" s="185"/>
      <c r="O65" s="186"/>
      <c r="P65" s="187"/>
      <c r="Q65" s="187"/>
    </row>
    <row r="66" spans="13:17" ht="15.75" customHeight="1" x14ac:dyDescent="0.25">
      <c r="M66" s="184"/>
      <c r="N66" s="185"/>
      <c r="O66" s="186"/>
      <c r="P66" s="187"/>
      <c r="Q66" s="187"/>
    </row>
    <row r="67" spans="13:17" ht="15.75" customHeight="1" x14ac:dyDescent="0.25">
      <c r="M67" s="184"/>
      <c r="N67" s="185"/>
      <c r="O67" s="186"/>
      <c r="P67" s="187"/>
      <c r="Q67" s="187"/>
    </row>
    <row r="68" spans="13:17" ht="15.75" customHeight="1" x14ac:dyDescent="0.25">
      <c r="M68" s="184"/>
      <c r="N68" s="185"/>
      <c r="O68" s="186"/>
      <c r="P68" s="187"/>
      <c r="Q68" s="187"/>
    </row>
    <row r="69" spans="13:17" ht="15.75" customHeight="1" x14ac:dyDescent="0.25">
      <c r="M69" s="184"/>
      <c r="N69" s="185"/>
      <c r="O69" s="186"/>
      <c r="P69" s="187"/>
      <c r="Q69" s="187"/>
    </row>
    <row r="70" spans="13:17" ht="15.75" customHeight="1" x14ac:dyDescent="0.25">
      <c r="M70" s="184"/>
      <c r="N70" s="185"/>
      <c r="O70" s="186"/>
      <c r="P70" s="187"/>
      <c r="Q70" s="187"/>
    </row>
    <row r="71" spans="13:17" ht="15.75" customHeight="1" x14ac:dyDescent="0.25">
      <c r="M71" s="184"/>
      <c r="N71" s="185"/>
      <c r="O71" s="186"/>
      <c r="P71" s="187"/>
      <c r="Q71" s="187"/>
    </row>
    <row r="72" spans="13:17" ht="15.75" customHeight="1" x14ac:dyDescent="0.25">
      <c r="M72" s="184"/>
      <c r="N72" s="185"/>
      <c r="O72" s="186"/>
      <c r="P72" s="187"/>
      <c r="Q72" s="187"/>
    </row>
    <row r="73" spans="13:17" ht="15.75" customHeight="1" x14ac:dyDescent="0.25">
      <c r="M73" s="184"/>
      <c r="N73" s="185"/>
      <c r="O73" s="186"/>
      <c r="P73" s="187"/>
      <c r="Q73" s="187"/>
    </row>
    <row r="74" spans="13:17" ht="15.75" customHeight="1" x14ac:dyDescent="0.25">
      <c r="M74" s="184"/>
      <c r="N74" s="185"/>
      <c r="O74" s="186"/>
      <c r="P74" s="187"/>
      <c r="Q74" s="187"/>
    </row>
    <row r="75" spans="13:17" ht="15.75" customHeight="1" x14ac:dyDescent="0.25">
      <c r="M75" s="184"/>
      <c r="N75" s="185"/>
      <c r="O75" s="186"/>
      <c r="P75" s="187"/>
      <c r="Q75" s="187"/>
    </row>
    <row r="76" spans="13:17" ht="15.75" customHeight="1" x14ac:dyDescent="0.25">
      <c r="M76" s="184"/>
      <c r="N76" s="185"/>
      <c r="O76" s="186"/>
      <c r="P76" s="187"/>
      <c r="Q76" s="187"/>
    </row>
    <row r="77" spans="13:17" ht="15.75" customHeight="1" x14ac:dyDescent="0.25">
      <c r="M77" s="184"/>
      <c r="N77" s="185"/>
      <c r="O77" s="186"/>
      <c r="P77" s="187"/>
      <c r="Q77" s="187"/>
    </row>
    <row r="78" spans="13:17" ht="15.75" customHeight="1" x14ac:dyDescent="0.25">
      <c r="M78" s="184"/>
      <c r="N78" s="185"/>
      <c r="O78" s="186"/>
      <c r="P78" s="187"/>
      <c r="Q78" s="187"/>
    </row>
    <row r="79" spans="13:17" ht="15.75" customHeight="1" x14ac:dyDescent="0.25">
      <c r="M79" s="184"/>
      <c r="N79" s="185"/>
      <c r="O79" s="186"/>
      <c r="P79" s="187"/>
      <c r="Q79" s="187"/>
    </row>
    <row r="80" spans="13:17" ht="15.75" customHeight="1" x14ac:dyDescent="0.25">
      <c r="M80" s="184"/>
      <c r="N80" s="185"/>
      <c r="O80" s="186"/>
      <c r="P80" s="187"/>
      <c r="Q80" s="187"/>
    </row>
    <row r="81" spans="13:17" ht="15.75" customHeight="1" x14ac:dyDescent="0.25">
      <c r="M81" s="184"/>
      <c r="N81" s="185"/>
      <c r="O81" s="186"/>
      <c r="P81" s="187"/>
      <c r="Q81" s="187"/>
    </row>
    <row r="82" spans="13:17" ht="15.75" customHeight="1" x14ac:dyDescent="0.25">
      <c r="M82" s="184"/>
      <c r="N82" s="185"/>
      <c r="O82" s="186"/>
      <c r="P82" s="187"/>
      <c r="Q82" s="187"/>
    </row>
    <row r="83" spans="13:17" ht="15.75" customHeight="1" x14ac:dyDescent="0.25">
      <c r="M83" s="184"/>
      <c r="N83" s="185"/>
      <c r="O83" s="186"/>
      <c r="P83" s="187"/>
      <c r="Q83" s="187"/>
    </row>
    <row r="84" spans="13:17" ht="15.75" customHeight="1" x14ac:dyDescent="0.25">
      <c r="M84" s="184"/>
      <c r="N84" s="185"/>
      <c r="O84" s="186"/>
      <c r="P84" s="187"/>
      <c r="Q84" s="187"/>
    </row>
    <row r="85" spans="13:17" ht="15.75" customHeight="1" x14ac:dyDescent="0.25">
      <c r="M85" s="184"/>
      <c r="N85" s="185"/>
      <c r="O85" s="186"/>
      <c r="P85" s="187"/>
      <c r="Q85" s="187"/>
    </row>
    <row r="86" spans="13:17" ht="15.75" customHeight="1" x14ac:dyDescent="0.25">
      <c r="M86" s="184"/>
      <c r="N86" s="185"/>
      <c r="O86" s="186"/>
      <c r="P86" s="187"/>
      <c r="Q86" s="187"/>
    </row>
    <row r="87" spans="13:17" ht="15.75" customHeight="1" x14ac:dyDescent="0.25">
      <c r="M87" s="184"/>
      <c r="N87" s="185"/>
      <c r="O87" s="186"/>
      <c r="P87" s="187"/>
      <c r="Q87" s="187"/>
    </row>
    <row r="88" spans="13:17" ht="15.75" customHeight="1" x14ac:dyDescent="0.25">
      <c r="M88" s="184"/>
      <c r="N88" s="185"/>
      <c r="O88" s="186"/>
      <c r="P88" s="187"/>
      <c r="Q88" s="187"/>
    </row>
    <row r="89" spans="13:17" ht="15.75" customHeight="1" x14ac:dyDescent="0.25">
      <c r="M89" s="184"/>
      <c r="N89" s="185"/>
      <c r="O89" s="186"/>
      <c r="P89" s="187"/>
      <c r="Q89" s="187"/>
    </row>
    <row r="90" spans="13:17" ht="15.75" customHeight="1" x14ac:dyDescent="0.25">
      <c r="M90" s="184"/>
      <c r="N90" s="185"/>
      <c r="O90" s="186"/>
      <c r="P90" s="187"/>
      <c r="Q90" s="187"/>
    </row>
    <row r="91" spans="13:17" ht="15.75" customHeight="1" x14ac:dyDescent="0.25">
      <c r="M91" s="184"/>
      <c r="N91" s="185"/>
      <c r="O91" s="186"/>
      <c r="P91" s="187"/>
      <c r="Q91" s="187"/>
    </row>
    <row r="92" spans="13:17" ht="15.75" customHeight="1" x14ac:dyDescent="0.25">
      <c r="M92" s="184"/>
      <c r="N92" s="185"/>
      <c r="O92" s="186"/>
      <c r="P92" s="187"/>
      <c r="Q92" s="187"/>
    </row>
    <row r="93" spans="13:17" ht="15.75" customHeight="1" x14ac:dyDescent="0.25">
      <c r="M93" s="184"/>
      <c r="N93" s="185"/>
      <c r="O93" s="186"/>
      <c r="P93" s="187"/>
      <c r="Q93" s="187"/>
    </row>
    <row r="94" spans="13:17" ht="15.75" customHeight="1" x14ac:dyDescent="0.25">
      <c r="M94" s="184"/>
      <c r="N94" s="185"/>
      <c r="O94" s="186"/>
      <c r="P94" s="187"/>
      <c r="Q94" s="187"/>
    </row>
    <row r="95" spans="13:17" ht="15.75" customHeight="1" x14ac:dyDescent="0.25">
      <c r="M95" s="184"/>
      <c r="N95" s="185"/>
      <c r="O95" s="186"/>
      <c r="P95" s="187"/>
      <c r="Q95" s="187"/>
    </row>
    <row r="96" spans="13:17" ht="15.75" customHeight="1" x14ac:dyDescent="0.25">
      <c r="M96" s="184"/>
      <c r="N96" s="185"/>
      <c r="O96" s="186"/>
      <c r="P96" s="187"/>
      <c r="Q96" s="187"/>
    </row>
    <row r="97" spans="13:17" ht="15.75" customHeight="1" x14ac:dyDescent="0.25">
      <c r="M97" s="184"/>
      <c r="N97" s="185"/>
      <c r="O97" s="186"/>
      <c r="P97" s="187"/>
      <c r="Q97" s="187"/>
    </row>
    <row r="98" spans="13:17" ht="15.75" customHeight="1" x14ac:dyDescent="0.25">
      <c r="M98" s="184"/>
      <c r="N98" s="185"/>
      <c r="O98" s="186"/>
      <c r="P98" s="187"/>
      <c r="Q98" s="187"/>
    </row>
    <row r="99" spans="13:17" ht="15.75" customHeight="1" x14ac:dyDescent="0.25">
      <c r="M99" s="184"/>
      <c r="N99" s="185"/>
      <c r="O99" s="186"/>
      <c r="P99" s="187"/>
      <c r="Q99" s="187"/>
    </row>
    <row r="100" spans="13:17" ht="15.75" customHeight="1" x14ac:dyDescent="0.25">
      <c r="M100" s="184"/>
      <c r="N100" s="185"/>
      <c r="O100" s="186"/>
      <c r="P100" s="187"/>
      <c r="Q100" s="187"/>
    </row>
    <row r="101" spans="13:17" ht="15.75" customHeight="1" x14ac:dyDescent="0.25">
      <c r="M101" s="184"/>
      <c r="N101" s="185"/>
      <c r="O101" s="186"/>
      <c r="P101" s="187"/>
      <c r="Q101" s="187"/>
    </row>
    <row r="102" spans="13:17" ht="15.75" customHeight="1" x14ac:dyDescent="0.25">
      <c r="M102" s="184"/>
      <c r="N102" s="185"/>
      <c r="O102" s="186"/>
      <c r="P102" s="187"/>
      <c r="Q102" s="187"/>
    </row>
    <row r="103" spans="13:17" ht="15.75" customHeight="1" x14ac:dyDescent="0.25">
      <c r="M103" s="184"/>
      <c r="N103" s="185"/>
      <c r="O103" s="186"/>
      <c r="P103" s="187"/>
      <c r="Q103" s="187"/>
    </row>
    <row r="104" spans="13:17" ht="15.75" customHeight="1" x14ac:dyDescent="0.25">
      <c r="M104" s="184"/>
      <c r="N104" s="185"/>
      <c r="O104" s="186"/>
      <c r="P104" s="187"/>
      <c r="Q104" s="187"/>
    </row>
    <row r="105" spans="13:17" ht="15.75" customHeight="1" x14ac:dyDescent="0.25">
      <c r="M105" s="184"/>
      <c r="N105" s="185"/>
      <c r="O105" s="186"/>
      <c r="P105" s="187"/>
      <c r="Q105" s="187"/>
    </row>
    <row r="106" spans="13:17" ht="15.75" customHeight="1" x14ac:dyDescent="0.25">
      <c r="M106" s="184"/>
      <c r="N106" s="185"/>
      <c r="O106" s="186"/>
      <c r="P106" s="187"/>
      <c r="Q106" s="187"/>
    </row>
    <row r="107" spans="13:17" ht="15.75" customHeight="1" x14ac:dyDescent="0.25">
      <c r="M107" s="184"/>
      <c r="N107" s="185"/>
      <c r="O107" s="186"/>
      <c r="P107" s="187"/>
      <c r="Q107" s="187"/>
    </row>
    <row r="108" spans="13:17" ht="15.75" customHeight="1" x14ac:dyDescent="0.25">
      <c r="M108" s="184"/>
      <c r="N108" s="185"/>
      <c r="O108" s="186"/>
      <c r="P108" s="187"/>
      <c r="Q108" s="187"/>
    </row>
    <row r="109" spans="13:17" ht="15.75" customHeight="1" x14ac:dyDescent="0.25">
      <c r="M109" s="184"/>
      <c r="N109" s="185"/>
      <c r="O109" s="186"/>
      <c r="P109" s="187"/>
      <c r="Q109" s="187"/>
    </row>
    <row r="110" spans="13:17" ht="15.75" customHeight="1" x14ac:dyDescent="0.25">
      <c r="M110" s="184"/>
      <c r="N110" s="185"/>
      <c r="O110" s="186"/>
      <c r="P110" s="187"/>
      <c r="Q110" s="187"/>
    </row>
    <row r="111" spans="13:17" ht="15.75" customHeight="1" x14ac:dyDescent="0.25">
      <c r="M111" s="184"/>
      <c r="N111" s="185"/>
      <c r="O111" s="186"/>
      <c r="P111" s="187"/>
      <c r="Q111" s="187"/>
    </row>
    <row r="112" spans="13:17" ht="15.75" customHeight="1" x14ac:dyDescent="0.25">
      <c r="M112" s="184"/>
      <c r="N112" s="185"/>
      <c r="O112" s="186"/>
      <c r="P112" s="187"/>
      <c r="Q112" s="187"/>
    </row>
    <row r="113" spans="13:17" ht="15.75" customHeight="1" x14ac:dyDescent="0.25">
      <c r="M113" s="184"/>
      <c r="N113" s="185"/>
      <c r="O113" s="186"/>
      <c r="P113" s="187"/>
      <c r="Q113" s="187"/>
    </row>
    <row r="114" spans="13:17" ht="15.75" customHeight="1" x14ac:dyDescent="0.25">
      <c r="M114" s="184"/>
      <c r="N114" s="185"/>
      <c r="O114" s="186"/>
      <c r="P114" s="187"/>
      <c r="Q114" s="187"/>
    </row>
    <row r="115" spans="13:17" ht="15.75" customHeight="1" x14ac:dyDescent="0.25">
      <c r="M115" s="184"/>
      <c r="N115" s="185"/>
      <c r="O115" s="186"/>
      <c r="P115" s="187"/>
      <c r="Q115" s="187"/>
    </row>
    <row r="116" spans="13:17" ht="15.75" customHeight="1" x14ac:dyDescent="0.25">
      <c r="M116" s="184"/>
      <c r="N116" s="185"/>
      <c r="O116" s="186"/>
      <c r="P116" s="187"/>
      <c r="Q116" s="187"/>
    </row>
    <row r="117" spans="13:17" ht="15.75" customHeight="1" x14ac:dyDescent="0.25">
      <c r="M117" s="184"/>
      <c r="N117" s="185"/>
      <c r="O117" s="186"/>
      <c r="P117" s="187"/>
      <c r="Q117" s="187"/>
    </row>
    <row r="118" spans="13:17" ht="15.75" customHeight="1" x14ac:dyDescent="0.25">
      <c r="M118" s="184"/>
      <c r="N118" s="185"/>
      <c r="O118" s="186"/>
      <c r="P118" s="187"/>
      <c r="Q118" s="187"/>
    </row>
    <row r="119" spans="13:17" ht="15.75" customHeight="1" x14ac:dyDescent="0.25">
      <c r="M119" s="184"/>
      <c r="N119" s="185"/>
      <c r="O119" s="186"/>
      <c r="P119" s="187"/>
      <c r="Q119" s="187"/>
    </row>
    <row r="120" spans="13:17" ht="15.75" customHeight="1" x14ac:dyDescent="0.25">
      <c r="M120" s="184"/>
      <c r="N120" s="185"/>
      <c r="O120" s="186"/>
      <c r="P120" s="187"/>
      <c r="Q120" s="187"/>
    </row>
    <row r="121" spans="13:17" ht="15.75" customHeight="1" x14ac:dyDescent="0.25">
      <c r="M121" s="184"/>
      <c r="N121" s="185"/>
      <c r="O121" s="186"/>
      <c r="P121" s="187"/>
      <c r="Q121" s="187"/>
    </row>
    <row r="122" spans="13:17" ht="15.75" customHeight="1" x14ac:dyDescent="0.25">
      <c r="M122" s="184"/>
      <c r="N122" s="185"/>
      <c r="O122" s="186"/>
      <c r="P122" s="187"/>
      <c r="Q122" s="187"/>
    </row>
    <row r="123" spans="13:17" ht="15.75" customHeight="1" x14ac:dyDescent="0.25">
      <c r="M123" s="184"/>
      <c r="N123" s="185"/>
      <c r="O123" s="186"/>
      <c r="P123" s="187"/>
      <c r="Q123" s="187"/>
    </row>
    <row r="124" spans="13:17" ht="15.75" customHeight="1" x14ac:dyDescent="0.25">
      <c r="M124" s="184"/>
      <c r="N124" s="185"/>
      <c r="O124" s="186"/>
      <c r="P124" s="187"/>
      <c r="Q124" s="187"/>
    </row>
    <row r="125" spans="13:17" ht="15.75" customHeight="1" x14ac:dyDescent="0.25">
      <c r="M125" s="184"/>
      <c r="N125" s="185"/>
      <c r="O125" s="186"/>
      <c r="P125" s="187"/>
      <c r="Q125" s="187"/>
    </row>
    <row r="126" spans="13:17" ht="15.75" customHeight="1" x14ac:dyDescent="0.25">
      <c r="M126" s="184"/>
      <c r="N126" s="185"/>
      <c r="O126" s="186"/>
      <c r="P126" s="187"/>
      <c r="Q126" s="187"/>
    </row>
    <row r="127" spans="13:17" ht="15.75" customHeight="1" x14ac:dyDescent="0.25">
      <c r="M127" s="184"/>
      <c r="N127" s="185"/>
      <c r="O127" s="186"/>
      <c r="P127" s="187"/>
      <c r="Q127" s="187"/>
    </row>
    <row r="128" spans="13:17" ht="15.75" customHeight="1" x14ac:dyDescent="0.25">
      <c r="M128" s="184"/>
      <c r="N128" s="185"/>
      <c r="O128" s="186"/>
      <c r="P128" s="187"/>
      <c r="Q128" s="187"/>
    </row>
    <row r="129" spans="13:17" ht="15.75" customHeight="1" x14ac:dyDescent="0.25">
      <c r="M129" s="184"/>
      <c r="N129" s="185"/>
      <c r="O129" s="186"/>
      <c r="P129" s="187"/>
      <c r="Q129" s="187"/>
    </row>
    <row r="130" spans="13:17" ht="15.75" customHeight="1" x14ac:dyDescent="0.25">
      <c r="M130" s="184"/>
      <c r="N130" s="185"/>
      <c r="O130" s="186"/>
      <c r="P130" s="187"/>
      <c r="Q130" s="187"/>
    </row>
    <row r="131" spans="13:17" ht="15.75" customHeight="1" x14ac:dyDescent="0.25">
      <c r="M131" s="184"/>
      <c r="N131" s="185"/>
      <c r="O131" s="186"/>
      <c r="P131" s="187"/>
      <c r="Q131" s="187"/>
    </row>
    <row r="132" spans="13:17" ht="15.75" customHeight="1" x14ac:dyDescent="0.25">
      <c r="M132" s="184"/>
      <c r="N132" s="185"/>
      <c r="O132" s="186"/>
      <c r="P132" s="187"/>
      <c r="Q132" s="187"/>
    </row>
    <row r="133" spans="13:17" ht="15.75" customHeight="1" x14ac:dyDescent="0.25">
      <c r="M133" s="184"/>
      <c r="N133" s="185"/>
      <c r="O133" s="186"/>
      <c r="P133" s="187"/>
      <c r="Q133" s="187"/>
    </row>
    <row r="134" spans="13:17" ht="15.75" customHeight="1" x14ac:dyDescent="0.25">
      <c r="M134" s="184"/>
      <c r="N134" s="185"/>
      <c r="O134" s="186"/>
      <c r="P134" s="187"/>
      <c r="Q134" s="187"/>
    </row>
    <row r="135" spans="13:17" ht="15.75" customHeight="1" x14ac:dyDescent="0.25">
      <c r="M135" s="184"/>
      <c r="N135" s="185"/>
      <c r="O135" s="186"/>
      <c r="P135" s="187"/>
      <c r="Q135" s="187"/>
    </row>
    <row r="136" spans="13:17" ht="15.75" customHeight="1" x14ac:dyDescent="0.25">
      <c r="M136" s="184"/>
      <c r="N136" s="185"/>
      <c r="O136" s="186"/>
      <c r="P136" s="187"/>
      <c r="Q136" s="187"/>
    </row>
    <row r="137" spans="13:17" ht="15.75" customHeight="1" x14ac:dyDescent="0.25">
      <c r="M137" s="184"/>
      <c r="N137" s="185"/>
      <c r="O137" s="186"/>
      <c r="P137" s="187"/>
      <c r="Q137" s="187"/>
    </row>
    <row r="138" spans="13:17" ht="15.75" customHeight="1" x14ac:dyDescent="0.25">
      <c r="M138" s="184"/>
      <c r="N138" s="185"/>
      <c r="O138" s="186"/>
      <c r="P138" s="187"/>
      <c r="Q138" s="187"/>
    </row>
    <row r="139" spans="13:17" ht="15.75" customHeight="1" x14ac:dyDescent="0.25">
      <c r="M139" s="184"/>
      <c r="N139" s="185"/>
      <c r="O139" s="186"/>
      <c r="P139" s="187"/>
      <c r="Q139" s="187"/>
    </row>
    <row r="140" spans="13:17" ht="15.75" customHeight="1" x14ac:dyDescent="0.25">
      <c r="M140" s="184"/>
      <c r="N140" s="185"/>
      <c r="O140" s="186"/>
      <c r="P140" s="187"/>
      <c r="Q140" s="187"/>
    </row>
    <row r="141" spans="13:17" ht="15.75" customHeight="1" x14ac:dyDescent="0.25">
      <c r="M141" s="184"/>
      <c r="N141" s="185"/>
      <c r="O141" s="186"/>
      <c r="P141" s="187"/>
      <c r="Q141" s="187"/>
    </row>
    <row r="142" spans="13:17" ht="15.75" customHeight="1" x14ac:dyDescent="0.25">
      <c r="M142" s="184"/>
      <c r="N142" s="185"/>
      <c r="O142" s="186"/>
      <c r="P142" s="187"/>
      <c r="Q142" s="187"/>
    </row>
    <row r="143" spans="13:17" ht="15.75" customHeight="1" x14ac:dyDescent="0.25">
      <c r="M143" s="184"/>
      <c r="N143" s="185"/>
      <c r="O143" s="186"/>
      <c r="P143" s="187"/>
      <c r="Q143" s="187"/>
    </row>
    <row r="144" spans="13:17" ht="15.75" customHeight="1" x14ac:dyDescent="0.25">
      <c r="M144" s="184"/>
      <c r="N144" s="185"/>
      <c r="O144" s="186"/>
      <c r="P144" s="187"/>
      <c r="Q144" s="187"/>
    </row>
    <row r="145" spans="13:17" ht="15.75" customHeight="1" x14ac:dyDescent="0.25">
      <c r="M145" s="184"/>
      <c r="N145" s="185"/>
      <c r="O145" s="186"/>
      <c r="P145" s="187"/>
      <c r="Q145" s="187"/>
    </row>
    <row r="146" spans="13:17" ht="15.75" customHeight="1" x14ac:dyDescent="0.25">
      <c r="M146" s="184"/>
      <c r="N146" s="185"/>
      <c r="O146" s="186"/>
      <c r="P146" s="187"/>
      <c r="Q146" s="187"/>
    </row>
    <row r="147" spans="13:17" ht="15.75" customHeight="1" x14ac:dyDescent="0.25">
      <c r="M147" s="184"/>
      <c r="N147" s="185"/>
      <c r="O147" s="186"/>
      <c r="P147" s="187"/>
      <c r="Q147" s="187"/>
    </row>
    <row r="148" spans="13:17" ht="15.75" customHeight="1" x14ac:dyDescent="0.25">
      <c r="M148" s="184"/>
      <c r="N148" s="185"/>
      <c r="O148" s="186"/>
      <c r="P148" s="187"/>
      <c r="Q148" s="187"/>
    </row>
    <row r="149" spans="13:17" ht="15.75" customHeight="1" x14ac:dyDescent="0.25">
      <c r="M149" s="184"/>
      <c r="N149" s="185"/>
      <c r="O149" s="186"/>
      <c r="P149" s="187"/>
      <c r="Q149" s="187"/>
    </row>
    <row r="150" spans="13:17" ht="15.75" customHeight="1" x14ac:dyDescent="0.25">
      <c r="M150" s="184"/>
      <c r="N150" s="185"/>
      <c r="O150" s="186"/>
      <c r="P150" s="187"/>
      <c r="Q150" s="187"/>
    </row>
    <row r="151" spans="13:17" ht="15.75" customHeight="1" x14ac:dyDescent="0.25">
      <c r="M151" s="184"/>
      <c r="N151" s="185"/>
      <c r="O151" s="186"/>
      <c r="P151" s="187"/>
      <c r="Q151" s="187"/>
    </row>
    <row r="152" spans="13:17" ht="15.75" customHeight="1" x14ac:dyDescent="0.25">
      <c r="M152" s="184"/>
      <c r="N152" s="185"/>
      <c r="O152" s="186"/>
      <c r="P152" s="187"/>
      <c r="Q152" s="187"/>
    </row>
    <row r="153" spans="13:17" ht="15.75" customHeight="1" x14ac:dyDescent="0.25">
      <c r="M153" s="184"/>
      <c r="N153" s="185"/>
      <c r="O153" s="186"/>
      <c r="P153" s="187"/>
      <c r="Q153" s="187"/>
    </row>
    <row r="154" spans="13:17" ht="15.75" customHeight="1" x14ac:dyDescent="0.25">
      <c r="M154" s="184"/>
      <c r="N154" s="185"/>
      <c r="O154" s="186"/>
      <c r="P154" s="187"/>
      <c r="Q154" s="187"/>
    </row>
    <row r="155" spans="13:17" ht="15.75" customHeight="1" x14ac:dyDescent="0.25">
      <c r="M155" s="184"/>
      <c r="N155" s="185"/>
      <c r="O155" s="186"/>
      <c r="P155" s="187"/>
      <c r="Q155" s="187"/>
    </row>
    <row r="156" spans="13:17" ht="15.75" customHeight="1" x14ac:dyDescent="0.25">
      <c r="M156" s="184"/>
      <c r="N156" s="185"/>
      <c r="O156" s="186"/>
      <c r="P156" s="187"/>
      <c r="Q156" s="187"/>
    </row>
    <row r="157" spans="13:17" ht="15.75" customHeight="1" x14ac:dyDescent="0.25">
      <c r="M157" s="184"/>
      <c r="N157" s="185"/>
      <c r="O157" s="186"/>
      <c r="P157" s="187"/>
      <c r="Q157" s="187"/>
    </row>
    <row r="158" spans="13:17" ht="15.75" customHeight="1" x14ac:dyDescent="0.25">
      <c r="M158" s="184"/>
      <c r="N158" s="185"/>
      <c r="O158" s="186"/>
      <c r="P158" s="187"/>
      <c r="Q158" s="187"/>
    </row>
    <row r="159" spans="13:17" ht="15.75" customHeight="1" x14ac:dyDescent="0.25">
      <c r="M159" s="184"/>
      <c r="N159" s="185"/>
      <c r="O159" s="186"/>
      <c r="P159" s="187"/>
      <c r="Q159" s="187"/>
    </row>
    <row r="160" spans="13:17" ht="15.75" customHeight="1" x14ac:dyDescent="0.25">
      <c r="M160" s="184"/>
      <c r="N160" s="185"/>
      <c r="O160" s="186"/>
      <c r="P160" s="187"/>
      <c r="Q160" s="187"/>
    </row>
    <row r="161" spans="13:17" ht="15.75" customHeight="1" x14ac:dyDescent="0.25">
      <c r="M161" s="184"/>
      <c r="N161" s="185"/>
      <c r="O161" s="186"/>
      <c r="P161" s="187"/>
      <c r="Q161" s="187"/>
    </row>
    <row r="162" spans="13:17" ht="15.75" customHeight="1" x14ac:dyDescent="0.25">
      <c r="M162" s="184"/>
      <c r="N162" s="185"/>
      <c r="O162" s="186"/>
      <c r="P162" s="187"/>
      <c r="Q162" s="187"/>
    </row>
    <row r="163" spans="13:17" ht="15.75" customHeight="1" x14ac:dyDescent="0.25">
      <c r="M163" s="184"/>
      <c r="N163" s="185"/>
      <c r="O163" s="186"/>
      <c r="P163" s="187"/>
      <c r="Q163" s="187"/>
    </row>
    <row r="164" spans="13:17" ht="15.75" customHeight="1" x14ac:dyDescent="0.25">
      <c r="M164" s="184"/>
      <c r="N164" s="185"/>
      <c r="O164" s="186"/>
      <c r="P164" s="187"/>
      <c r="Q164" s="187"/>
    </row>
    <row r="165" spans="13:17" ht="15.75" customHeight="1" x14ac:dyDescent="0.25">
      <c r="M165" s="184"/>
      <c r="N165" s="185"/>
      <c r="O165" s="186"/>
      <c r="P165" s="187"/>
      <c r="Q165" s="187"/>
    </row>
    <row r="166" spans="13:17" ht="15.75" customHeight="1" x14ac:dyDescent="0.25">
      <c r="M166" s="184"/>
      <c r="N166" s="185"/>
      <c r="O166" s="186"/>
      <c r="P166" s="187"/>
      <c r="Q166" s="187"/>
    </row>
    <row r="167" spans="13:17" ht="15.75" customHeight="1" x14ac:dyDescent="0.25">
      <c r="M167" s="184"/>
      <c r="N167" s="185"/>
      <c r="O167" s="186"/>
      <c r="P167" s="187"/>
      <c r="Q167" s="187"/>
    </row>
    <row r="168" spans="13:17" ht="15.75" customHeight="1" x14ac:dyDescent="0.25">
      <c r="M168" s="184"/>
      <c r="N168" s="185"/>
      <c r="O168" s="186"/>
      <c r="P168" s="187"/>
      <c r="Q168" s="187"/>
    </row>
    <row r="169" spans="13:17" ht="15.75" customHeight="1" x14ac:dyDescent="0.25">
      <c r="M169" s="184"/>
      <c r="N169" s="185"/>
      <c r="O169" s="186"/>
      <c r="P169" s="187"/>
      <c r="Q169" s="187"/>
    </row>
    <row r="170" spans="13:17" ht="15.75" customHeight="1" x14ac:dyDescent="0.25">
      <c r="M170" s="184"/>
      <c r="N170" s="185"/>
      <c r="O170" s="186"/>
      <c r="P170" s="187"/>
      <c r="Q170" s="187"/>
    </row>
    <row r="171" spans="13:17" ht="15.75" customHeight="1" x14ac:dyDescent="0.25">
      <c r="M171" s="184"/>
      <c r="N171" s="185"/>
      <c r="O171" s="186"/>
      <c r="P171" s="187"/>
      <c r="Q171" s="187"/>
    </row>
    <row r="172" spans="13:17" ht="15.75" customHeight="1" x14ac:dyDescent="0.25">
      <c r="M172" s="184"/>
      <c r="N172" s="185"/>
      <c r="O172" s="186"/>
      <c r="P172" s="187"/>
      <c r="Q172" s="187"/>
    </row>
    <row r="173" spans="13:17" ht="15.75" customHeight="1" x14ac:dyDescent="0.25">
      <c r="M173" s="184"/>
      <c r="N173" s="185"/>
      <c r="O173" s="186"/>
      <c r="P173" s="187"/>
      <c r="Q173" s="187"/>
    </row>
    <row r="174" spans="13:17" ht="15.75" customHeight="1" x14ac:dyDescent="0.25">
      <c r="M174" s="184"/>
      <c r="N174" s="185"/>
      <c r="O174" s="186"/>
      <c r="P174" s="187"/>
      <c r="Q174" s="187"/>
    </row>
    <row r="175" spans="13:17" ht="15.75" customHeight="1" x14ac:dyDescent="0.25">
      <c r="M175" s="184"/>
      <c r="N175" s="185"/>
      <c r="O175" s="186"/>
      <c r="P175" s="187"/>
      <c r="Q175" s="187"/>
    </row>
    <row r="176" spans="13:17" ht="15.75" customHeight="1" x14ac:dyDescent="0.25">
      <c r="M176" s="184"/>
      <c r="N176" s="185"/>
      <c r="O176" s="186"/>
      <c r="P176" s="187"/>
      <c r="Q176" s="187"/>
    </row>
    <row r="177" spans="13:17" ht="15.75" customHeight="1" x14ac:dyDescent="0.25">
      <c r="M177" s="184"/>
      <c r="N177" s="185"/>
      <c r="O177" s="186"/>
      <c r="P177" s="187"/>
      <c r="Q177" s="187"/>
    </row>
    <row r="178" spans="13:17" ht="15.75" customHeight="1" x14ac:dyDescent="0.25">
      <c r="M178" s="184"/>
      <c r="N178" s="185"/>
      <c r="O178" s="186"/>
      <c r="P178" s="187"/>
      <c r="Q178" s="187"/>
    </row>
    <row r="179" spans="13:17" ht="15.75" customHeight="1" x14ac:dyDescent="0.25">
      <c r="M179" s="184"/>
      <c r="N179" s="185"/>
      <c r="O179" s="186"/>
      <c r="P179" s="187"/>
      <c r="Q179" s="187"/>
    </row>
    <row r="180" spans="13:17" ht="15.75" customHeight="1" x14ac:dyDescent="0.25">
      <c r="M180" s="184"/>
      <c r="N180" s="185"/>
      <c r="O180" s="186"/>
      <c r="P180" s="187"/>
      <c r="Q180" s="187"/>
    </row>
    <row r="181" spans="13:17" ht="15.75" customHeight="1" x14ac:dyDescent="0.25">
      <c r="M181" s="184"/>
      <c r="N181" s="185"/>
      <c r="O181" s="186"/>
      <c r="P181" s="187"/>
      <c r="Q181" s="187"/>
    </row>
    <row r="182" spans="13:17" ht="15.75" customHeight="1" x14ac:dyDescent="0.25">
      <c r="M182" s="184"/>
      <c r="N182" s="185"/>
      <c r="O182" s="186"/>
      <c r="P182" s="187"/>
      <c r="Q182" s="187"/>
    </row>
    <row r="183" spans="13:17" ht="15.75" customHeight="1" x14ac:dyDescent="0.25">
      <c r="M183" s="184"/>
      <c r="N183" s="185"/>
      <c r="O183" s="186"/>
      <c r="P183" s="187"/>
      <c r="Q183" s="187"/>
    </row>
    <row r="184" spans="13:17" ht="15.75" customHeight="1" x14ac:dyDescent="0.25">
      <c r="M184" s="184"/>
      <c r="N184" s="185"/>
      <c r="O184" s="186"/>
      <c r="P184" s="187"/>
      <c r="Q184" s="187"/>
    </row>
    <row r="185" spans="13:17" ht="15.75" customHeight="1" x14ac:dyDescent="0.25">
      <c r="M185" s="184"/>
      <c r="N185" s="185"/>
      <c r="O185" s="186"/>
      <c r="P185" s="187"/>
      <c r="Q185" s="187"/>
    </row>
    <row r="186" spans="13:17" ht="15.75" customHeight="1" x14ac:dyDescent="0.25">
      <c r="M186" s="184"/>
      <c r="N186" s="185"/>
      <c r="O186" s="186"/>
      <c r="P186" s="187"/>
      <c r="Q186" s="187"/>
    </row>
    <row r="187" spans="13:17" ht="15.75" customHeight="1" x14ac:dyDescent="0.25">
      <c r="M187" s="184"/>
      <c r="N187" s="185"/>
      <c r="O187" s="186"/>
      <c r="P187" s="187"/>
      <c r="Q187" s="187"/>
    </row>
    <row r="188" spans="13:17" ht="15.75" customHeight="1" x14ac:dyDescent="0.25">
      <c r="M188" s="184"/>
      <c r="N188" s="185"/>
      <c r="O188" s="186"/>
      <c r="P188" s="187"/>
      <c r="Q188" s="187"/>
    </row>
    <row r="189" spans="13:17" ht="15.75" customHeight="1" x14ac:dyDescent="0.25">
      <c r="M189" s="184"/>
      <c r="N189" s="185"/>
      <c r="O189" s="186"/>
      <c r="P189" s="187"/>
      <c r="Q189" s="187"/>
    </row>
    <row r="190" spans="13:17" ht="15.75" customHeight="1" x14ac:dyDescent="0.25">
      <c r="M190" s="184"/>
      <c r="N190" s="185"/>
      <c r="O190" s="186"/>
      <c r="P190" s="187"/>
      <c r="Q190" s="187"/>
    </row>
    <row r="191" spans="13:17" ht="15.75" customHeight="1" x14ac:dyDescent="0.25">
      <c r="M191" s="184"/>
      <c r="N191" s="185"/>
      <c r="O191" s="186"/>
      <c r="P191" s="187"/>
      <c r="Q191" s="187"/>
    </row>
    <row r="192" spans="13:17" ht="15.75" customHeight="1" x14ac:dyDescent="0.25">
      <c r="M192" s="184"/>
      <c r="N192" s="185"/>
      <c r="O192" s="186"/>
      <c r="P192" s="187"/>
      <c r="Q192" s="187"/>
    </row>
    <row r="193" spans="13:17" ht="15.75" customHeight="1" x14ac:dyDescent="0.25">
      <c r="M193" s="184"/>
      <c r="N193" s="185"/>
      <c r="O193" s="186"/>
      <c r="P193" s="187"/>
      <c r="Q193" s="187"/>
    </row>
    <row r="194" spans="13:17" ht="15.75" customHeight="1" x14ac:dyDescent="0.25">
      <c r="M194" s="184"/>
      <c r="N194" s="185"/>
      <c r="O194" s="186"/>
      <c r="P194" s="187"/>
      <c r="Q194" s="187"/>
    </row>
    <row r="195" spans="13:17" ht="15.75" customHeight="1" x14ac:dyDescent="0.25">
      <c r="M195" s="184"/>
      <c r="N195" s="185"/>
      <c r="O195" s="186"/>
      <c r="P195" s="187"/>
      <c r="Q195" s="187"/>
    </row>
    <row r="196" spans="13:17" ht="15.75" customHeight="1" x14ac:dyDescent="0.25">
      <c r="M196" s="184"/>
      <c r="N196" s="185"/>
      <c r="O196" s="186"/>
      <c r="P196" s="187"/>
      <c r="Q196" s="187"/>
    </row>
    <row r="197" spans="13:17" ht="15.75" customHeight="1" x14ac:dyDescent="0.25">
      <c r="M197" s="184"/>
      <c r="N197" s="185"/>
      <c r="O197" s="186"/>
      <c r="P197" s="187"/>
      <c r="Q197" s="187"/>
    </row>
    <row r="198" spans="13:17" ht="15.75" customHeight="1" x14ac:dyDescent="0.25">
      <c r="M198" s="184"/>
      <c r="N198" s="185"/>
      <c r="O198" s="186"/>
      <c r="P198" s="187"/>
      <c r="Q198" s="187"/>
    </row>
    <row r="199" spans="13:17" ht="15.75" customHeight="1" x14ac:dyDescent="0.25">
      <c r="M199" s="184"/>
      <c r="N199" s="185"/>
      <c r="O199" s="186"/>
      <c r="P199" s="187"/>
      <c r="Q199" s="187"/>
    </row>
    <row r="200" spans="13:17" ht="15.75" customHeight="1" x14ac:dyDescent="0.25">
      <c r="M200" s="184"/>
      <c r="N200" s="185"/>
      <c r="O200" s="186"/>
      <c r="P200" s="187"/>
      <c r="Q200" s="187"/>
    </row>
    <row r="201" spans="13:17" ht="15.75" customHeight="1" x14ac:dyDescent="0.25">
      <c r="M201" s="184"/>
      <c r="N201" s="185"/>
      <c r="O201" s="186"/>
      <c r="P201" s="187"/>
      <c r="Q201" s="187"/>
    </row>
    <row r="202" spans="13:17" ht="15.75" customHeight="1" x14ac:dyDescent="0.25">
      <c r="M202" s="184"/>
      <c r="N202" s="185"/>
      <c r="O202" s="186"/>
      <c r="P202" s="187"/>
      <c r="Q202" s="187"/>
    </row>
    <row r="203" spans="13:17" ht="15.75" customHeight="1" x14ac:dyDescent="0.25">
      <c r="M203" s="184"/>
      <c r="N203" s="185"/>
      <c r="O203" s="186"/>
      <c r="P203" s="187"/>
      <c r="Q203" s="187"/>
    </row>
    <row r="204" spans="13:17" ht="15.75" customHeight="1" x14ac:dyDescent="0.25">
      <c r="M204" s="184"/>
      <c r="N204" s="185"/>
      <c r="O204" s="186"/>
      <c r="P204" s="187"/>
      <c r="Q204" s="187"/>
    </row>
    <row r="205" spans="13:17" ht="15.75" customHeight="1" x14ac:dyDescent="0.25">
      <c r="M205" s="184"/>
      <c r="N205" s="185"/>
      <c r="O205" s="186"/>
      <c r="P205" s="187"/>
      <c r="Q205" s="187"/>
    </row>
    <row r="206" spans="13:17" ht="15.75" customHeight="1" x14ac:dyDescent="0.25">
      <c r="M206" s="184"/>
      <c r="N206" s="185"/>
      <c r="O206" s="186"/>
      <c r="P206" s="187"/>
      <c r="Q206" s="187"/>
    </row>
    <row r="207" spans="13:17" ht="15.75" customHeight="1" x14ac:dyDescent="0.25">
      <c r="M207" s="184"/>
      <c r="N207" s="185"/>
      <c r="O207" s="186"/>
      <c r="P207" s="187"/>
      <c r="Q207" s="187"/>
    </row>
    <row r="208" spans="13:17" ht="15.75" customHeight="1" x14ac:dyDescent="0.25">
      <c r="M208" s="184"/>
      <c r="N208" s="185"/>
      <c r="O208" s="186"/>
      <c r="P208" s="187"/>
      <c r="Q208" s="187"/>
    </row>
    <row r="209" spans="13:17" ht="15.75" customHeight="1" x14ac:dyDescent="0.25">
      <c r="M209" s="184"/>
      <c r="N209" s="185"/>
      <c r="O209" s="186"/>
      <c r="P209" s="187"/>
      <c r="Q209" s="187"/>
    </row>
    <row r="210" spans="13:17" ht="15.75" customHeight="1" x14ac:dyDescent="0.25">
      <c r="M210" s="184"/>
      <c r="N210" s="185"/>
      <c r="O210" s="186"/>
      <c r="P210" s="187"/>
      <c r="Q210" s="187"/>
    </row>
    <row r="211" spans="13:17" ht="15.75" customHeight="1" x14ac:dyDescent="0.25">
      <c r="M211" s="184"/>
      <c r="N211" s="185"/>
      <c r="O211" s="186"/>
      <c r="P211" s="187"/>
      <c r="Q211" s="187"/>
    </row>
    <row r="212" spans="13:17" ht="15.75" customHeight="1" x14ac:dyDescent="0.25">
      <c r="M212" s="184"/>
      <c r="N212" s="185"/>
      <c r="O212" s="186"/>
      <c r="P212" s="187"/>
      <c r="Q212" s="187"/>
    </row>
    <row r="213" spans="13:17" ht="15.75" customHeight="1" x14ac:dyDescent="0.25">
      <c r="M213" s="184"/>
      <c r="N213" s="185"/>
      <c r="O213" s="186"/>
      <c r="P213" s="187"/>
      <c r="Q213" s="187"/>
    </row>
    <row r="214" spans="13:17" ht="15.75" customHeight="1" x14ac:dyDescent="0.25">
      <c r="M214" s="184"/>
      <c r="N214" s="185"/>
      <c r="O214" s="186"/>
      <c r="P214" s="187"/>
      <c r="Q214" s="187"/>
    </row>
    <row r="215" spans="13:17" ht="15.75" customHeight="1" x14ac:dyDescent="0.25">
      <c r="M215" s="184"/>
      <c r="N215" s="185"/>
      <c r="O215" s="186"/>
      <c r="P215" s="187"/>
      <c r="Q215" s="187"/>
    </row>
    <row r="216" spans="13:17" ht="15.75" customHeight="1" x14ac:dyDescent="0.25">
      <c r="M216" s="184"/>
      <c r="N216" s="185"/>
      <c r="O216" s="186"/>
      <c r="P216" s="187"/>
      <c r="Q216" s="187"/>
    </row>
    <row r="217" spans="13:17" ht="15.75" customHeight="1" x14ac:dyDescent="0.25">
      <c r="M217" s="184"/>
      <c r="N217" s="185"/>
      <c r="O217" s="186"/>
      <c r="P217" s="187"/>
      <c r="Q217" s="187"/>
    </row>
    <row r="218" spans="13:17" ht="15.75" customHeight="1" x14ac:dyDescent="0.25">
      <c r="M218" s="184"/>
      <c r="N218" s="185"/>
      <c r="O218" s="186"/>
      <c r="P218" s="187"/>
      <c r="Q218" s="187"/>
    </row>
    <row r="219" spans="13:17" ht="15.75" customHeight="1" x14ac:dyDescent="0.25">
      <c r="M219" s="184"/>
      <c r="N219" s="185"/>
      <c r="O219" s="186"/>
      <c r="P219" s="187"/>
      <c r="Q219" s="187"/>
    </row>
    <row r="220" spans="13:17" ht="15.75" customHeight="1" x14ac:dyDescent="0.25">
      <c r="M220" s="184"/>
      <c r="N220" s="185"/>
      <c r="O220" s="186"/>
      <c r="P220" s="187"/>
      <c r="Q220" s="187"/>
    </row>
    <row r="221" spans="13:17" ht="15.75" customHeight="1" x14ac:dyDescent="0.25">
      <c r="M221" s="184"/>
      <c r="N221" s="185"/>
      <c r="O221" s="186"/>
      <c r="P221" s="187"/>
      <c r="Q221" s="187"/>
    </row>
    <row r="222" spans="13:17" ht="15.75" customHeight="1" x14ac:dyDescent="0.25">
      <c r="M222" s="184"/>
      <c r="N222" s="185"/>
      <c r="O222" s="186"/>
      <c r="P222" s="187"/>
      <c r="Q222" s="187"/>
    </row>
    <row r="223" spans="13:17" ht="15.75" customHeight="1" x14ac:dyDescent="0.25">
      <c r="M223" s="184"/>
      <c r="N223" s="185"/>
      <c r="O223" s="186"/>
      <c r="P223" s="187"/>
      <c r="Q223" s="187"/>
    </row>
    <row r="224" spans="13:17" ht="15.75" customHeight="1" x14ac:dyDescent="0.25">
      <c r="M224" s="184"/>
      <c r="N224" s="185"/>
      <c r="O224" s="186"/>
      <c r="P224" s="187"/>
      <c r="Q224" s="187"/>
    </row>
    <row r="225" spans="13:17" ht="15.75" customHeight="1" x14ac:dyDescent="0.25">
      <c r="M225" s="184"/>
      <c r="N225" s="185"/>
      <c r="O225" s="186"/>
      <c r="P225" s="187"/>
      <c r="Q225" s="187"/>
    </row>
    <row r="226" spans="13:17" ht="15.75" customHeight="1" x14ac:dyDescent="0.25">
      <c r="M226" s="184"/>
      <c r="N226" s="185"/>
      <c r="O226" s="186"/>
      <c r="P226" s="187"/>
      <c r="Q226" s="187"/>
    </row>
    <row r="227" spans="13:17" ht="15.75" customHeight="1" x14ac:dyDescent="0.25">
      <c r="M227" s="184"/>
      <c r="N227" s="185"/>
      <c r="O227" s="186"/>
      <c r="P227" s="187"/>
      <c r="Q227" s="187"/>
    </row>
    <row r="228" spans="13:17" ht="15.75" customHeight="1" x14ac:dyDescent="0.25">
      <c r="M228" s="184"/>
      <c r="N228" s="185"/>
      <c r="O228" s="186"/>
      <c r="P228" s="187"/>
      <c r="Q228" s="187"/>
    </row>
    <row r="229" spans="13:17" ht="15.75" customHeight="1" x14ac:dyDescent="0.25">
      <c r="M229" s="184"/>
      <c r="N229" s="185"/>
      <c r="O229" s="186"/>
      <c r="P229" s="187"/>
      <c r="Q229" s="187"/>
    </row>
    <row r="230" spans="13:17" ht="15.75" customHeight="1" x14ac:dyDescent="0.25">
      <c r="M230" s="184"/>
      <c r="N230" s="185"/>
      <c r="O230" s="186"/>
      <c r="P230" s="187"/>
      <c r="Q230" s="187"/>
    </row>
    <row r="231" spans="13:17" ht="15.75" customHeight="1" x14ac:dyDescent="0.25">
      <c r="M231" s="184"/>
      <c r="N231" s="185"/>
      <c r="O231" s="186"/>
      <c r="P231" s="187"/>
      <c r="Q231" s="187"/>
    </row>
    <row r="232" spans="13:17" ht="15.75" customHeight="1" x14ac:dyDescent="0.25">
      <c r="M232" s="184"/>
      <c r="N232" s="185"/>
      <c r="O232" s="186"/>
      <c r="P232" s="187"/>
      <c r="Q232" s="187"/>
    </row>
    <row r="233" spans="13:17" ht="15.75" customHeight="1" x14ac:dyDescent="0.25">
      <c r="M233" s="184"/>
      <c r="N233" s="185"/>
      <c r="O233" s="186"/>
      <c r="P233" s="187"/>
      <c r="Q233" s="187"/>
    </row>
    <row r="234" spans="13:17" ht="15.75" customHeight="1" x14ac:dyDescent="0.25">
      <c r="M234" s="184"/>
      <c r="N234" s="185"/>
      <c r="O234" s="186"/>
      <c r="P234" s="187"/>
      <c r="Q234" s="187"/>
    </row>
    <row r="235" spans="13:17" ht="15.75" customHeight="1" x14ac:dyDescent="0.25">
      <c r="M235" s="184"/>
      <c r="N235" s="185"/>
      <c r="O235" s="186"/>
      <c r="P235" s="187"/>
      <c r="Q235" s="187"/>
    </row>
    <row r="236" spans="13:17" ht="15.75" customHeight="1" x14ac:dyDescent="0.25">
      <c r="M236" s="184"/>
      <c r="N236" s="185"/>
      <c r="O236" s="186"/>
      <c r="P236" s="187"/>
      <c r="Q236" s="187"/>
    </row>
    <row r="237" spans="13:17" ht="15.75" customHeight="1" x14ac:dyDescent="0.25">
      <c r="M237" s="184"/>
      <c r="N237" s="185"/>
      <c r="O237" s="186"/>
      <c r="P237" s="187"/>
      <c r="Q237" s="187"/>
    </row>
    <row r="238" spans="13:17" ht="15.75" customHeight="1" x14ac:dyDescent="0.25">
      <c r="M238" s="184"/>
      <c r="N238" s="185"/>
      <c r="O238" s="186"/>
      <c r="P238" s="187"/>
      <c r="Q238" s="187"/>
    </row>
    <row r="239" spans="13:17" ht="15.75" customHeight="1" x14ac:dyDescent="0.25">
      <c r="M239" s="184"/>
      <c r="N239" s="185"/>
      <c r="O239" s="186"/>
      <c r="P239" s="187"/>
      <c r="Q239" s="187"/>
    </row>
    <row r="240" spans="13:17" ht="15.75" customHeight="1" x14ac:dyDescent="0.25">
      <c r="M240" s="184"/>
      <c r="N240" s="185"/>
      <c r="O240" s="186"/>
      <c r="P240" s="187"/>
      <c r="Q240" s="187"/>
    </row>
    <row r="241" spans="13:17" ht="15.75" customHeight="1" x14ac:dyDescent="0.25">
      <c r="M241" s="184"/>
      <c r="N241" s="185"/>
      <c r="O241" s="186"/>
      <c r="P241" s="187"/>
      <c r="Q241" s="187"/>
    </row>
    <row r="242" spans="13:17" ht="15.75" customHeight="1" x14ac:dyDescent="0.25">
      <c r="M242" s="184"/>
      <c r="N242" s="185"/>
      <c r="O242" s="186"/>
      <c r="P242" s="187"/>
      <c r="Q242" s="187"/>
    </row>
    <row r="243" spans="13:17" ht="15.75" customHeight="1" x14ac:dyDescent="0.25">
      <c r="M243" s="184"/>
      <c r="N243" s="185"/>
      <c r="O243" s="186"/>
      <c r="P243" s="187"/>
      <c r="Q243" s="187"/>
    </row>
    <row r="244" spans="13:17" ht="15.75" customHeight="1" x14ac:dyDescent="0.25">
      <c r="M244" s="184"/>
      <c r="N244" s="185"/>
      <c r="O244" s="186"/>
      <c r="P244" s="187"/>
      <c r="Q244" s="187"/>
    </row>
    <row r="245" spans="13:17" ht="15.75" customHeight="1" x14ac:dyDescent="0.25">
      <c r="M245" s="184"/>
      <c r="N245" s="185"/>
      <c r="O245" s="186"/>
      <c r="P245" s="187"/>
      <c r="Q245" s="187"/>
    </row>
    <row r="246" spans="13:17" ht="15.75" customHeight="1" x14ac:dyDescent="0.25">
      <c r="M246" s="184"/>
      <c r="N246" s="185"/>
      <c r="O246" s="186"/>
      <c r="P246" s="187"/>
      <c r="Q246" s="187"/>
    </row>
    <row r="247" spans="13:17" ht="15.75" customHeight="1" x14ac:dyDescent="0.25">
      <c r="M247" s="184"/>
      <c r="N247" s="185"/>
      <c r="O247" s="186"/>
      <c r="P247" s="187"/>
      <c r="Q247" s="187"/>
    </row>
    <row r="248" spans="13:17" ht="15.75" customHeight="1" x14ac:dyDescent="0.25">
      <c r="M248" s="184"/>
      <c r="N248" s="185"/>
      <c r="O248" s="186"/>
      <c r="P248" s="187"/>
      <c r="Q248" s="187"/>
    </row>
    <row r="249" spans="13:17" ht="15.75" customHeight="1" x14ac:dyDescent="0.25">
      <c r="M249" s="184"/>
      <c r="N249" s="185"/>
      <c r="O249" s="186"/>
      <c r="P249" s="187"/>
      <c r="Q249" s="187"/>
    </row>
    <row r="250" spans="13:17" ht="15.75" customHeight="1" x14ac:dyDescent="0.25">
      <c r="M250" s="184"/>
      <c r="N250" s="185"/>
      <c r="O250" s="186"/>
      <c r="P250" s="187"/>
      <c r="Q250" s="187"/>
    </row>
    <row r="251" spans="13:17" ht="15.75" customHeight="1" x14ac:dyDescent="0.25">
      <c r="M251" s="184"/>
      <c r="N251" s="185"/>
      <c r="O251" s="186"/>
      <c r="P251" s="187"/>
      <c r="Q251" s="187"/>
    </row>
    <row r="252" spans="13:17" ht="15.75" customHeight="1" x14ac:dyDescent="0.25">
      <c r="M252" s="184"/>
      <c r="N252" s="185"/>
      <c r="O252" s="186"/>
      <c r="P252" s="187"/>
      <c r="Q252" s="187"/>
    </row>
    <row r="253" spans="13:17" ht="15.75" customHeight="1" x14ac:dyDescent="0.25">
      <c r="M253" s="184"/>
      <c r="N253" s="185"/>
      <c r="O253" s="186"/>
      <c r="P253" s="187"/>
      <c r="Q253" s="187"/>
    </row>
    <row r="254" spans="13:17" ht="15.75" customHeight="1" x14ac:dyDescent="0.25">
      <c r="M254" s="184"/>
      <c r="N254" s="185"/>
      <c r="O254" s="186"/>
      <c r="P254" s="187"/>
      <c r="Q254" s="187"/>
    </row>
    <row r="255" spans="13:17" ht="15.75" customHeight="1" x14ac:dyDescent="0.25">
      <c r="M255" s="184"/>
      <c r="N255" s="185"/>
      <c r="O255" s="186"/>
      <c r="P255" s="187"/>
      <c r="Q255" s="187"/>
    </row>
    <row r="256" spans="13:17" ht="15.75" customHeight="1" x14ac:dyDescent="0.25">
      <c r="M256" s="184"/>
      <c r="N256" s="185"/>
      <c r="O256" s="186"/>
      <c r="P256" s="187"/>
      <c r="Q256" s="187"/>
    </row>
    <row r="257" spans="13:17" ht="15.75" customHeight="1" x14ac:dyDescent="0.25">
      <c r="M257" s="184"/>
      <c r="N257" s="185"/>
      <c r="O257" s="186"/>
      <c r="P257" s="187"/>
      <c r="Q257" s="187"/>
    </row>
    <row r="258" spans="13:17" ht="15.75" customHeight="1" x14ac:dyDescent="0.25">
      <c r="M258" s="184"/>
      <c r="N258" s="185"/>
      <c r="O258" s="186"/>
      <c r="P258" s="187"/>
      <c r="Q258" s="187"/>
    </row>
    <row r="259" spans="13:17" ht="15.75" customHeight="1" x14ac:dyDescent="0.25">
      <c r="M259" s="184"/>
      <c r="N259" s="185"/>
      <c r="O259" s="186"/>
      <c r="P259" s="187"/>
      <c r="Q259" s="187"/>
    </row>
    <row r="260" spans="13:17" ht="15.75" customHeight="1" x14ac:dyDescent="0.25">
      <c r="M260" s="184"/>
      <c r="N260" s="185"/>
      <c r="O260" s="186"/>
      <c r="P260" s="187"/>
      <c r="Q260" s="187"/>
    </row>
    <row r="261" spans="13:17" ht="15.75" customHeight="1" x14ac:dyDescent="0.25">
      <c r="M261" s="184"/>
      <c r="N261" s="185"/>
      <c r="O261" s="186"/>
      <c r="P261" s="187"/>
      <c r="Q261" s="187"/>
    </row>
    <row r="262" spans="13:17" ht="15.75" customHeight="1" x14ac:dyDescent="0.25">
      <c r="M262" s="184"/>
      <c r="N262" s="185"/>
      <c r="O262" s="186"/>
      <c r="P262" s="187"/>
      <c r="Q262" s="187"/>
    </row>
    <row r="263" spans="13:17" ht="15.75" customHeight="1" x14ac:dyDescent="0.25">
      <c r="M263" s="184"/>
      <c r="N263" s="185"/>
      <c r="O263" s="186"/>
      <c r="P263" s="187"/>
      <c r="Q263" s="187"/>
    </row>
    <row r="264" spans="13:17" ht="15.75" customHeight="1" x14ac:dyDescent="0.25">
      <c r="M264" s="184"/>
      <c r="N264" s="185"/>
      <c r="O264" s="186"/>
      <c r="P264" s="187"/>
      <c r="Q264" s="187"/>
    </row>
    <row r="265" spans="13:17" ht="15.75" customHeight="1" x14ac:dyDescent="0.25">
      <c r="M265" s="184"/>
      <c r="N265" s="185"/>
      <c r="O265" s="186"/>
      <c r="P265" s="187"/>
      <c r="Q265" s="187"/>
    </row>
    <row r="266" spans="13:17" ht="15.75" customHeight="1" x14ac:dyDescent="0.25">
      <c r="M266" s="184"/>
      <c r="N266" s="185"/>
      <c r="O266" s="186"/>
      <c r="P266" s="187"/>
      <c r="Q266" s="187"/>
    </row>
    <row r="267" spans="13:17" ht="15.75" customHeight="1" x14ac:dyDescent="0.25">
      <c r="M267" s="184"/>
      <c r="N267" s="185"/>
      <c r="O267" s="186"/>
      <c r="P267" s="187"/>
      <c r="Q267" s="187"/>
    </row>
    <row r="268" spans="13:17" ht="15.75" customHeight="1" x14ac:dyDescent="0.25">
      <c r="M268" s="184"/>
      <c r="N268" s="185"/>
      <c r="O268" s="186"/>
      <c r="P268" s="187"/>
      <c r="Q268" s="187"/>
    </row>
    <row r="269" spans="13:17" ht="15.75" customHeight="1" x14ac:dyDescent="0.25">
      <c r="M269" s="184"/>
      <c r="N269" s="185"/>
      <c r="O269" s="186"/>
      <c r="P269" s="187"/>
      <c r="Q269" s="187"/>
    </row>
    <row r="270" spans="13:17" ht="15.75" customHeight="1" x14ac:dyDescent="0.25">
      <c r="M270" s="184"/>
      <c r="N270" s="185"/>
      <c r="O270" s="186"/>
      <c r="P270" s="187"/>
      <c r="Q270" s="187"/>
    </row>
    <row r="271" spans="13:17" ht="15.75" customHeight="1" x14ac:dyDescent="0.25">
      <c r="M271" s="184"/>
      <c r="N271" s="185"/>
      <c r="O271" s="186"/>
      <c r="P271" s="187"/>
      <c r="Q271" s="187"/>
    </row>
    <row r="272" spans="13:17" ht="15.75" customHeight="1" x14ac:dyDescent="0.25">
      <c r="M272" s="184"/>
      <c r="N272" s="185"/>
      <c r="O272" s="186"/>
      <c r="P272" s="187"/>
      <c r="Q272" s="187"/>
    </row>
    <row r="273" spans="13:17" ht="15.75" customHeight="1" x14ac:dyDescent="0.25">
      <c r="M273" s="184"/>
      <c r="N273" s="185"/>
      <c r="O273" s="186"/>
      <c r="P273" s="187"/>
      <c r="Q273" s="187"/>
    </row>
    <row r="274" spans="13:17" ht="15.75" customHeight="1" x14ac:dyDescent="0.25">
      <c r="M274" s="184"/>
      <c r="N274" s="185"/>
      <c r="O274" s="186"/>
      <c r="P274" s="187"/>
      <c r="Q274" s="187"/>
    </row>
    <row r="275" spans="13:17" ht="15.75" customHeight="1" x14ac:dyDescent="0.25">
      <c r="M275" s="184"/>
      <c r="N275" s="185"/>
      <c r="O275" s="186"/>
      <c r="P275" s="187"/>
      <c r="Q275" s="187"/>
    </row>
    <row r="276" spans="13:17" ht="15.75" customHeight="1" x14ac:dyDescent="0.25">
      <c r="M276" s="184"/>
      <c r="N276" s="185"/>
      <c r="O276" s="186"/>
      <c r="P276" s="187"/>
      <c r="Q276" s="187"/>
    </row>
    <row r="277" spans="13:17" ht="15.75" customHeight="1" x14ac:dyDescent="0.25">
      <c r="M277" s="184"/>
      <c r="N277" s="185"/>
      <c r="O277" s="186"/>
      <c r="P277" s="187"/>
      <c r="Q277" s="187"/>
    </row>
    <row r="278" spans="13:17" ht="15.75" customHeight="1" x14ac:dyDescent="0.25">
      <c r="M278" s="184"/>
      <c r="N278" s="185"/>
      <c r="O278" s="186"/>
      <c r="P278" s="187"/>
      <c r="Q278" s="187"/>
    </row>
    <row r="279" spans="13:17" ht="15.75" customHeight="1" x14ac:dyDescent="0.25">
      <c r="M279" s="184"/>
      <c r="N279" s="185"/>
      <c r="O279" s="186"/>
      <c r="P279" s="187"/>
      <c r="Q279" s="187"/>
    </row>
    <row r="280" spans="13:17" ht="15.75" customHeight="1" x14ac:dyDescent="0.25">
      <c r="M280" s="184"/>
      <c r="N280" s="185"/>
      <c r="O280" s="186"/>
      <c r="P280" s="187"/>
      <c r="Q280" s="187"/>
    </row>
    <row r="281" spans="13:17" ht="15.75" customHeight="1" x14ac:dyDescent="0.25">
      <c r="M281" s="184"/>
      <c r="N281" s="185"/>
      <c r="O281" s="186"/>
      <c r="P281" s="187"/>
      <c r="Q281" s="187"/>
    </row>
    <row r="282" spans="13:17" ht="15.75" customHeight="1" x14ac:dyDescent="0.25">
      <c r="M282" s="184"/>
      <c r="N282" s="185"/>
      <c r="O282" s="186"/>
      <c r="P282" s="187"/>
      <c r="Q282" s="187"/>
    </row>
    <row r="283" spans="13:17" ht="15.75" customHeight="1" x14ac:dyDescent="0.25">
      <c r="M283" s="184"/>
      <c r="N283" s="185"/>
      <c r="O283" s="186"/>
      <c r="P283" s="187"/>
      <c r="Q283" s="187"/>
    </row>
    <row r="284" spans="13:17" ht="15.75" customHeight="1" x14ac:dyDescent="0.25">
      <c r="M284" s="184"/>
      <c r="N284" s="185"/>
      <c r="O284" s="186"/>
      <c r="P284" s="187"/>
      <c r="Q284" s="187"/>
    </row>
    <row r="285" spans="13:17" ht="15.75" customHeight="1" x14ac:dyDescent="0.25">
      <c r="M285" s="184"/>
      <c r="N285" s="185"/>
      <c r="O285" s="186"/>
      <c r="P285" s="187"/>
      <c r="Q285" s="187"/>
    </row>
    <row r="286" spans="13:17" ht="15.75" customHeight="1" x14ac:dyDescent="0.25">
      <c r="M286" s="184"/>
      <c r="N286" s="185"/>
      <c r="O286" s="186"/>
      <c r="P286" s="187"/>
      <c r="Q286" s="187"/>
    </row>
    <row r="287" spans="13:17" ht="15.75" customHeight="1" x14ac:dyDescent="0.25">
      <c r="M287" s="184"/>
      <c r="N287" s="185"/>
      <c r="O287" s="186"/>
      <c r="P287" s="187"/>
      <c r="Q287" s="187"/>
    </row>
    <row r="288" spans="13:17" ht="15.75" customHeight="1" x14ac:dyDescent="0.25">
      <c r="M288" s="184"/>
      <c r="N288" s="185"/>
      <c r="O288" s="186"/>
      <c r="P288" s="187"/>
      <c r="Q288" s="187"/>
    </row>
    <row r="289" spans="13:17" ht="15.75" customHeight="1" x14ac:dyDescent="0.25">
      <c r="M289" s="184"/>
      <c r="N289" s="185"/>
      <c r="O289" s="186"/>
      <c r="P289" s="187"/>
      <c r="Q289" s="187"/>
    </row>
    <row r="290" spans="13:17" ht="15.75" customHeight="1" x14ac:dyDescent="0.25">
      <c r="M290" s="184"/>
      <c r="N290" s="185"/>
      <c r="O290" s="186"/>
      <c r="P290" s="187"/>
      <c r="Q290" s="187"/>
    </row>
    <row r="291" spans="13:17" ht="15.75" customHeight="1" x14ac:dyDescent="0.25">
      <c r="M291" s="184"/>
      <c r="N291" s="185"/>
      <c r="O291" s="186"/>
      <c r="P291" s="187"/>
      <c r="Q291" s="187"/>
    </row>
    <row r="292" spans="13:17" ht="15.75" customHeight="1" x14ac:dyDescent="0.25">
      <c r="M292" s="184"/>
      <c r="N292" s="185"/>
      <c r="O292" s="186"/>
      <c r="P292" s="187"/>
      <c r="Q292" s="187"/>
    </row>
    <row r="293" spans="13:17" ht="15.75" customHeight="1" x14ac:dyDescent="0.25">
      <c r="M293" s="184"/>
      <c r="N293" s="185"/>
      <c r="O293" s="186"/>
      <c r="P293" s="187"/>
      <c r="Q293" s="187"/>
    </row>
    <row r="294" spans="13:17" ht="15.75" customHeight="1" x14ac:dyDescent="0.25">
      <c r="M294" s="184"/>
      <c r="N294" s="185"/>
      <c r="O294" s="186"/>
      <c r="P294" s="187"/>
      <c r="Q294" s="187"/>
    </row>
    <row r="295" spans="13:17" ht="15.75" customHeight="1" x14ac:dyDescent="0.25">
      <c r="M295" s="184"/>
      <c r="N295" s="185"/>
      <c r="O295" s="186"/>
      <c r="P295" s="187"/>
      <c r="Q295" s="187"/>
    </row>
    <row r="296" spans="13:17" ht="15.75" customHeight="1" x14ac:dyDescent="0.25">
      <c r="M296" s="184"/>
      <c r="N296" s="185"/>
      <c r="O296" s="186"/>
      <c r="P296" s="187"/>
      <c r="Q296" s="187"/>
    </row>
    <row r="297" spans="13:17" ht="15.75" customHeight="1" x14ac:dyDescent="0.25">
      <c r="M297" s="184"/>
      <c r="N297" s="185"/>
      <c r="O297" s="186"/>
      <c r="P297" s="187"/>
      <c r="Q297" s="187"/>
    </row>
    <row r="298" spans="13:17" ht="15.75" customHeight="1" x14ac:dyDescent="0.25">
      <c r="M298" s="184"/>
      <c r="N298" s="185"/>
      <c r="O298" s="186"/>
      <c r="P298" s="187"/>
      <c r="Q298" s="187"/>
    </row>
    <row r="299" spans="13:17" ht="15.75" customHeight="1" x14ac:dyDescent="0.25">
      <c r="M299" s="184"/>
      <c r="N299" s="185"/>
      <c r="O299" s="186"/>
      <c r="P299" s="187"/>
      <c r="Q299" s="187"/>
    </row>
    <row r="300" spans="13:17" ht="15.75" customHeight="1" x14ac:dyDescent="0.25">
      <c r="M300" s="184"/>
      <c r="N300" s="185"/>
      <c r="O300" s="186"/>
      <c r="P300" s="187"/>
      <c r="Q300" s="187"/>
    </row>
    <row r="301" spans="13:17" ht="15.75" customHeight="1" x14ac:dyDescent="0.25">
      <c r="M301" s="184"/>
      <c r="N301" s="185"/>
      <c r="O301" s="186"/>
      <c r="P301" s="187"/>
      <c r="Q301" s="187"/>
    </row>
    <row r="302" spans="13:17" ht="15.75" customHeight="1" x14ac:dyDescent="0.25">
      <c r="M302" s="184"/>
      <c r="N302" s="185"/>
      <c r="O302" s="186"/>
      <c r="P302" s="187"/>
      <c r="Q302" s="187"/>
    </row>
    <row r="303" spans="13:17" ht="15.75" customHeight="1" x14ac:dyDescent="0.25">
      <c r="M303" s="184"/>
      <c r="N303" s="185"/>
      <c r="O303" s="186"/>
      <c r="P303" s="187"/>
      <c r="Q303" s="187"/>
    </row>
    <row r="304" spans="13:17" ht="15.75" customHeight="1" x14ac:dyDescent="0.25">
      <c r="M304" s="184"/>
      <c r="N304" s="185"/>
      <c r="O304" s="186"/>
      <c r="P304" s="187"/>
      <c r="Q304" s="187"/>
    </row>
    <row r="305" spans="13:17" ht="15.75" customHeight="1" x14ac:dyDescent="0.25">
      <c r="M305" s="184"/>
      <c r="N305" s="185"/>
      <c r="O305" s="186"/>
      <c r="P305" s="187"/>
      <c r="Q305" s="187"/>
    </row>
    <row r="306" spans="13:17" ht="15.75" customHeight="1" x14ac:dyDescent="0.25">
      <c r="M306" s="184"/>
      <c r="N306" s="185"/>
      <c r="O306" s="186"/>
      <c r="P306" s="187"/>
      <c r="Q306" s="187"/>
    </row>
    <row r="307" spans="13:17" ht="15.75" customHeight="1" x14ac:dyDescent="0.25">
      <c r="M307" s="184"/>
      <c r="N307" s="185"/>
      <c r="O307" s="186"/>
      <c r="P307" s="187"/>
      <c r="Q307" s="187"/>
    </row>
    <row r="308" spans="13:17" ht="15.75" customHeight="1" x14ac:dyDescent="0.25">
      <c r="M308" s="184"/>
      <c r="N308" s="185"/>
      <c r="O308" s="186"/>
      <c r="P308" s="187"/>
      <c r="Q308" s="187"/>
    </row>
    <row r="309" spans="13:17" ht="15.75" customHeight="1" x14ac:dyDescent="0.25">
      <c r="M309" s="184"/>
      <c r="N309" s="185"/>
      <c r="O309" s="186"/>
      <c r="P309" s="187"/>
      <c r="Q309" s="187"/>
    </row>
    <row r="310" spans="13:17" ht="15.75" customHeight="1" x14ac:dyDescent="0.25">
      <c r="M310" s="184"/>
      <c r="N310" s="185"/>
      <c r="O310" s="186"/>
      <c r="P310" s="187"/>
      <c r="Q310" s="187"/>
    </row>
    <row r="311" spans="13:17" ht="15.75" customHeight="1" x14ac:dyDescent="0.25">
      <c r="M311" s="184"/>
      <c r="N311" s="185"/>
      <c r="O311" s="186"/>
      <c r="P311" s="187"/>
      <c r="Q311" s="187"/>
    </row>
    <row r="312" spans="13:17" ht="15.75" customHeight="1" x14ac:dyDescent="0.25">
      <c r="M312" s="184"/>
      <c r="N312" s="185"/>
      <c r="O312" s="186"/>
      <c r="P312" s="187"/>
      <c r="Q312" s="187"/>
    </row>
    <row r="313" spans="13:17" ht="15.75" customHeight="1" x14ac:dyDescent="0.25">
      <c r="M313" s="184"/>
      <c r="N313" s="185"/>
      <c r="O313" s="186"/>
      <c r="P313" s="187"/>
      <c r="Q313" s="187"/>
    </row>
    <row r="314" spans="13:17" ht="15.75" customHeight="1" x14ac:dyDescent="0.25">
      <c r="M314" s="184"/>
      <c r="N314" s="185"/>
      <c r="O314" s="186"/>
      <c r="P314" s="187"/>
      <c r="Q314" s="187"/>
    </row>
    <row r="315" spans="13:17" ht="15.75" customHeight="1" x14ac:dyDescent="0.25">
      <c r="M315" s="184"/>
      <c r="N315" s="185"/>
      <c r="O315" s="186"/>
      <c r="P315" s="187"/>
      <c r="Q315" s="187"/>
    </row>
    <row r="316" spans="13:17" ht="15.75" customHeight="1" x14ac:dyDescent="0.25">
      <c r="M316" s="184"/>
      <c r="N316" s="185"/>
      <c r="O316" s="186"/>
      <c r="P316" s="187"/>
      <c r="Q316" s="187"/>
    </row>
    <row r="317" spans="13:17" ht="15.75" customHeight="1" x14ac:dyDescent="0.25">
      <c r="M317" s="184"/>
      <c r="N317" s="185"/>
      <c r="O317" s="186"/>
      <c r="P317" s="187"/>
      <c r="Q317" s="187"/>
    </row>
    <row r="318" spans="13:17" ht="15.75" customHeight="1" x14ac:dyDescent="0.25">
      <c r="M318" s="184"/>
      <c r="N318" s="185"/>
      <c r="O318" s="186"/>
      <c r="P318" s="187"/>
      <c r="Q318" s="187"/>
    </row>
    <row r="319" spans="13:17" ht="15.75" customHeight="1" x14ac:dyDescent="0.25">
      <c r="M319" s="184"/>
      <c r="N319" s="185"/>
      <c r="O319" s="186"/>
      <c r="P319" s="187"/>
      <c r="Q319" s="187"/>
    </row>
    <row r="320" spans="13:17" ht="15.75" customHeight="1" x14ac:dyDescent="0.25">
      <c r="M320" s="184"/>
      <c r="N320" s="185"/>
      <c r="O320" s="186"/>
      <c r="P320" s="187"/>
      <c r="Q320" s="187"/>
    </row>
    <row r="321" spans="13:17" ht="15.75" customHeight="1" x14ac:dyDescent="0.25">
      <c r="M321" s="184"/>
      <c r="N321" s="185"/>
      <c r="O321" s="186"/>
      <c r="P321" s="187"/>
      <c r="Q321" s="187"/>
    </row>
    <row r="322" spans="13:17" ht="15.75" customHeight="1" x14ac:dyDescent="0.25">
      <c r="M322" s="184"/>
      <c r="N322" s="185"/>
      <c r="O322" s="186"/>
      <c r="P322" s="187"/>
      <c r="Q322" s="187"/>
    </row>
    <row r="323" spans="13:17" ht="15.75" customHeight="1" x14ac:dyDescent="0.25">
      <c r="M323" s="184"/>
      <c r="N323" s="185"/>
      <c r="O323" s="186"/>
      <c r="P323" s="187"/>
      <c r="Q323" s="187"/>
    </row>
    <row r="324" spans="13:17" ht="15.75" customHeight="1" x14ac:dyDescent="0.25">
      <c r="M324" s="184"/>
      <c r="N324" s="185"/>
      <c r="O324" s="186"/>
      <c r="P324" s="187"/>
      <c r="Q324" s="187"/>
    </row>
    <row r="325" spans="13:17" ht="15.75" customHeight="1" x14ac:dyDescent="0.25">
      <c r="M325" s="184"/>
      <c r="N325" s="185"/>
      <c r="O325" s="186"/>
      <c r="P325" s="187"/>
      <c r="Q325" s="187"/>
    </row>
    <row r="326" spans="13:17" ht="15.75" customHeight="1" x14ac:dyDescent="0.25">
      <c r="M326" s="184"/>
      <c r="N326" s="185"/>
      <c r="O326" s="186"/>
      <c r="P326" s="187"/>
      <c r="Q326" s="187"/>
    </row>
    <row r="327" spans="13:17" ht="15.75" customHeight="1" x14ac:dyDescent="0.25">
      <c r="M327" s="184"/>
      <c r="N327" s="185"/>
      <c r="O327" s="186"/>
      <c r="P327" s="187"/>
      <c r="Q327" s="187"/>
    </row>
    <row r="328" spans="13:17" ht="15.75" customHeight="1" x14ac:dyDescent="0.25">
      <c r="M328" s="184"/>
      <c r="N328" s="185"/>
      <c r="O328" s="186"/>
      <c r="P328" s="187"/>
      <c r="Q328" s="187"/>
    </row>
    <row r="329" spans="13:17" ht="15.75" customHeight="1" x14ac:dyDescent="0.25">
      <c r="M329" s="184"/>
      <c r="N329" s="185"/>
      <c r="O329" s="186"/>
      <c r="P329" s="187"/>
      <c r="Q329" s="187"/>
    </row>
    <row r="330" spans="13:17" ht="15.75" customHeight="1" x14ac:dyDescent="0.25">
      <c r="M330" s="184"/>
      <c r="N330" s="185"/>
      <c r="O330" s="186"/>
      <c r="P330" s="187"/>
      <c r="Q330" s="187"/>
    </row>
    <row r="331" spans="13:17" ht="15.75" customHeight="1" x14ac:dyDescent="0.25">
      <c r="M331" s="184"/>
      <c r="N331" s="185"/>
      <c r="O331" s="186"/>
      <c r="P331" s="187"/>
      <c r="Q331" s="187"/>
    </row>
    <row r="332" spans="13:17" ht="15.75" customHeight="1" x14ac:dyDescent="0.25">
      <c r="M332" s="184"/>
      <c r="N332" s="185"/>
      <c r="O332" s="186"/>
      <c r="P332" s="187"/>
      <c r="Q332" s="187"/>
    </row>
    <row r="333" spans="13:17" ht="15.75" customHeight="1" x14ac:dyDescent="0.25">
      <c r="M333" s="184"/>
      <c r="N333" s="185"/>
      <c r="O333" s="186"/>
      <c r="P333" s="187"/>
      <c r="Q333" s="187"/>
    </row>
    <row r="334" spans="13:17" ht="15.75" customHeight="1" x14ac:dyDescent="0.25">
      <c r="M334" s="184"/>
      <c r="N334" s="185"/>
      <c r="O334" s="186"/>
      <c r="P334" s="187"/>
      <c r="Q334" s="187"/>
    </row>
    <row r="335" spans="13:17" ht="15.75" customHeight="1" x14ac:dyDescent="0.25">
      <c r="M335" s="184"/>
      <c r="N335" s="185"/>
      <c r="O335" s="186"/>
      <c r="P335" s="187"/>
      <c r="Q335" s="187"/>
    </row>
    <row r="336" spans="13:17" ht="15.75" customHeight="1" x14ac:dyDescent="0.25">
      <c r="M336" s="184"/>
      <c r="N336" s="185"/>
      <c r="O336" s="186"/>
      <c r="P336" s="187"/>
      <c r="Q336" s="187"/>
    </row>
    <row r="337" spans="13:17" ht="15.75" customHeight="1" x14ac:dyDescent="0.25">
      <c r="M337" s="184"/>
      <c r="N337" s="185"/>
      <c r="O337" s="186"/>
      <c r="P337" s="187"/>
      <c r="Q337" s="187"/>
    </row>
    <row r="338" spans="13:17" ht="15.75" customHeight="1" x14ac:dyDescent="0.25">
      <c r="M338" s="184"/>
      <c r="N338" s="185"/>
      <c r="O338" s="186"/>
      <c r="P338" s="187"/>
      <c r="Q338" s="187"/>
    </row>
    <row r="339" spans="13:17" ht="15.75" customHeight="1" x14ac:dyDescent="0.25">
      <c r="M339" s="184"/>
      <c r="N339" s="185"/>
      <c r="O339" s="186"/>
      <c r="P339" s="187"/>
      <c r="Q339" s="187"/>
    </row>
    <row r="340" spans="13:17" ht="15.75" customHeight="1" x14ac:dyDescent="0.25">
      <c r="M340" s="184"/>
      <c r="N340" s="185"/>
      <c r="O340" s="186"/>
      <c r="P340" s="187"/>
      <c r="Q340" s="187"/>
    </row>
    <row r="341" spans="13:17" ht="15.75" customHeight="1" x14ac:dyDescent="0.25">
      <c r="M341" s="184"/>
      <c r="N341" s="185"/>
      <c r="O341" s="186"/>
      <c r="P341" s="187"/>
      <c r="Q341" s="187"/>
    </row>
    <row r="342" spans="13:17" ht="15.75" customHeight="1" x14ac:dyDescent="0.25">
      <c r="M342" s="184"/>
      <c r="N342" s="185"/>
      <c r="O342" s="186"/>
      <c r="P342" s="187"/>
      <c r="Q342" s="187"/>
    </row>
    <row r="343" spans="13:17" ht="15.75" customHeight="1" x14ac:dyDescent="0.25">
      <c r="M343" s="184"/>
      <c r="N343" s="185"/>
      <c r="O343" s="186"/>
      <c r="P343" s="187"/>
      <c r="Q343" s="187"/>
    </row>
    <row r="344" spans="13:17" ht="15.75" customHeight="1" x14ac:dyDescent="0.25">
      <c r="M344" s="184"/>
      <c r="N344" s="185"/>
      <c r="O344" s="186"/>
      <c r="P344" s="187"/>
      <c r="Q344" s="187"/>
    </row>
    <row r="345" spans="13:17" ht="15.75" customHeight="1" x14ac:dyDescent="0.25">
      <c r="M345" s="184"/>
      <c r="N345" s="185"/>
      <c r="O345" s="186"/>
      <c r="P345" s="187"/>
      <c r="Q345" s="187"/>
    </row>
    <row r="346" spans="13:17" ht="15.75" customHeight="1" x14ac:dyDescent="0.25">
      <c r="M346" s="184"/>
      <c r="N346" s="185"/>
      <c r="O346" s="186"/>
      <c r="P346" s="187"/>
      <c r="Q346" s="187"/>
    </row>
    <row r="347" spans="13:17" ht="15.75" customHeight="1" x14ac:dyDescent="0.25">
      <c r="M347" s="184"/>
      <c r="N347" s="185"/>
      <c r="O347" s="186"/>
      <c r="P347" s="187"/>
      <c r="Q347" s="187"/>
    </row>
    <row r="348" spans="13:17" ht="15.75" customHeight="1" x14ac:dyDescent="0.25">
      <c r="M348" s="184"/>
      <c r="N348" s="185"/>
      <c r="O348" s="186"/>
      <c r="P348" s="187"/>
      <c r="Q348" s="187"/>
    </row>
    <row r="349" spans="13:17" ht="15.75" customHeight="1" x14ac:dyDescent="0.25">
      <c r="M349" s="184"/>
      <c r="N349" s="185"/>
      <c r="O349" s="186"/>
      <c r="P349" s="187"/>
      <c r="Q349" s="187"/>
    </row>
    <row r="350" spans="13:17" ht="15.75" customHeight="1" x14ac:dyDescent="0.25">
      <c r="M350" s="184"/>
      <c r="N350" s="185"/>
      <c r="O350" s="186"/>
      <c r="P350" s="187"/>
      <c r="Q350" s="187"/>
    </row>
    <row r="351" spans="13:17" ht="15.75" customHeight="1" x14ac:dyDescent="0.25">
      <c r="M351" s="184"/>
      <c r="N351" s="185"/>
      <c r="O351" s="186"/>
      <c r="P351" s="187"/>
      <c r="Q351" s="187"/>
    </row>
    <row r="352" spans="13:17" ht="15.75" customHeight="1" x14ac:dyDescent="0.25">
      <c r="M352" s="184"/>
      <c r="N352" s="185"/>
      <c r="O352" s="186"/>
      <c r="P352" s="187"/>
      <c r="Q352" s="187"/>
    </row>
    <row r="353" spans="13:17" ht="15.75" customHeight="1" x14ac:dyDescent="0.25">
      <c r="M353" s="184"/>
      <c r="N353" s="185"/>
      <c r="O353" s="186"/>
      <c r="P353" s="187"/>
      <c r="Q353" s="187"/>
    </row>
    <row r="354" spans="13:17" ht="15.75" customHeight="1" x14ac:dyDescent="0.25">
      <c r="M354" s="184"/>
      <c r="N354" s="185"/>
      <c r="O354" s="186"/>
      <c r="P354" s="187"/>
      <c r="Q354" s="187"/>
    </row>
    <row r="355" spans="13:17" ht="15.75" customHeight="1" x14ac:dyDescent="0.25">
      <c r="M355" s="184"/>
      <c r="N355" s="185"/>
      <c r="O355" s="186"/>
      <c r="P355" s="187"/>
      <c r="Q355" s="187"/>
    </row>
    <row r="356" spans="13:17" ht="15.75" customHeight="1" x14ac:dyDescent="0.25">
      <c r="M356" s="184"/>
      <c r="N356" s="185"/>
      <c r="O356" s="186"/>
      <c r="P356" s="187"/>
      <c r="Q356" s="187"/>
    </row>
    <row r="357" spans="13:17" ht="15.75" customHeight="1" x14ac:dyDescent="0.25">
      <c r="M357" s="184"/>
      <c r="N357" s="185"/>
      <c r="O357" s="186"/>
      <c r="P357" s="187"/>
      <c r="Q357" s="187"/>
    </row>
    <row r="358" spans="13:17" ht="15.75" customHeight="1" x14ac:dyDescent="0.25">
      <c r="M358" s="184"/>
      <c r="N358" s="185"/>
      <c r="O358" s="186"/>
      <c r="P358" s="187"/>
      <c r="Q358" s="187"/>
    </row>
    <row r="359" spans="13:17" ht="15.75" customHeight="1" x14ac:dyDescent="0.25">
      <c r="M359" s="184"/>
      <c r="N359" s="185"/>
      <c r="O359" s="186"/>
      <c r="P359" s="187"/>
      <c r="Q359" s="187"/>
    </row>
    <row r="360" spans="13:17" ht="15.75" customHeight="1" x14ac:dyDescent="0.25">
      <c r="M360" s="184"/>
      <c r="N360" s="185"/>
      <c r="O360" s="186"/>
      <c r="P360" s="187"/>
      <c r="Q360" s="187"/>
    </row>
    <row r="361" spans="13:17" ht="15.75" customHeight="1" x14ac:dyDescent="0.25">
      <c r="M361" s="184"/>
      <c r="N361" s="185"/>
      <c r="O361" s="186"/>
      <c r="P361" s="187"/>
      <c r="Q361" s="187"/>
    </row>
    <row r="362" spans="13:17" ht="15.75" customHeight="1" x14ac:dyDescent="0.25">
      <c r="M362" s="184"/>
      <c r="N362" s="185"/>
      <c r="O362" s="186"/>
      <c r="P362" s="187"/>
      <c r="Q362" s="187"/>
    </row>
    <row r="363" spans="13:17" ht="15.75" customHeight="1" x14ac:dyDescent="0.25">
      <c r="M363" s="184"/>
      <c r="N363" s="185"/>
      <c r="O363" s="186"/>
      <c r="P363" s="187"/>
      <c r="Q363" s="187"/>
    </row>
    <row r="364" spans="13:17" ht="15.75" customHeight="1" x14ac:dyDescent="0.25">
      <c r="M364" s="184"/>
      <c r="N364" s="185"/>
      <c r="O364" s="186"/>
      <c r="P364" s="187"/>
      <c r="Q364" s="187"/>
    </row>
    <row r="365" spans="13:17" ht="15.75" customHeight="1" x14ac:dyDescent="0.25">
      <c r="M365" s="184"/>
      <c r="N365" s="185"/>
      <c r="O365" s="186"/>
      <c r="P365" s="187"/>
      <c r="Q365" s="187"/>
    </row>
    <row r="366" spans="13:17" ht="15.75" customHeight="1" x14ac:dyDescent="0.25">
      <c r="M366" s="184"/>
      <c r="N366" s="185"/>
      <c r="O366" s="186"/>
      <c r="P366" s="187"/>
      <c r="Q366" s="187"/>
    </row>
    <row r="367" spans="13:17" ht="15.75" customHeight="1" x14ac:dyDescent="0.25">
      <c r="M367" s="184"/>
      <c r="N367" s="185"/>
      <c r="O367" s="186"/>
      <c r="P367" s="187"/>
      <c r="Q367" s="187"/>
    </row>
    <row r="368" spans="13:17" ht="15.75" customHeight="1" x14ac:dyDescent="0.25">
      <c r="M368" s="184"/>
      <c r="N368" s="185"/>
      <c r="O368" s="186"/>
      <c r="P368" s="187"/>
      <c r="Q368" s="187"/>
    </row>
    <row r="369" spans="13:17" ht="15.75" customHeight="1" x14ac:dyDescent="0.25">
      <c r="M369" s="184"/>
      <c r="N369" s="185"/>
      <c r="O369" s="186"/>
      <c r="P369" s="187"/>
      <c r="Q369" s="187"/>
    </row>
    <row r="370" spans="13:17" ht="15.75" customHeight="1" x14ac:dyDescent="0.25">
      <c r="M370" s="184"/>
      <c r="N370" s="185"/>
      <c r="O370" s="186"/>
      <c r="P370" s="187"/>
      <c r="Q370" s="187"/>
    </row>
    <row r="371" spans="13:17" ht="15.75" customHeight="1" x14ac:dyDescent="0.25">
      <c r="M371" s="184"/>
      <c r="N371" s="185"/>
      <c r="O371" s="186"/>
      <c r="P371" s="187"/>
      <c r="Q371" s="187"/>
    </row>
    <row r="372" spans="13:17" ht="15.75" customHeight="1" x14ac:dyDescent="0.25">
      <c r="M372" s="184"/>
      <c r="N372" s="185"/>
      <c r="O372" s="186"/>
      <c r="P372" s="187"/>
      <c r="Q372" s="187"/>
    </row>
    <row r="373" spans="13:17" ht="15.75" customHeight="1" x14ac:dyDescent="0.25">
      <c r="M373" s="184"/>
      <c r="N373" s="185"/>
      <c r="O373" s="186"/>
      <c r="P373" s="187"/>
      <c r="Q373" s="187"/>
    </row>
    <row r="374" spans="13:17" ht="15.75" customHeight="1" x14ac:dyDescent="0.25">
      <c r="M374" s="184"/>
      <c r="N374" s="185"/>
      <c r="O374" s="186"/>
      <c r="P374" s="187"/>
      <c r="Q374" s="187"/>
    </row>
    <row r="375" spans="13:17" ht="15.75" customHeight="1" x14ac:dyDescent="0.25">
      <c r="M375" s="184"/>
      <c r="N375" s="185"/>
      <c r="O375" s="186"/>
      <c r="P375" s="187"/>
      <c r="Q375" s="187"/>
    </row>
    <row r="376" spans="13:17" ht="15.75" customHeight="1" x14ac:dyDescent="0.25">
      <c r="M376" s="184"/>
      <c r="N376" s="185"/>
      <c r="O376" s="186"/>
      <c r="P376" s="187"/>
      <c r="Q376" s="187"/>
    </row>
    <row r="377" spans="13:17" ht="15.75" customHeight="1" x14ac:dyDescent="0.25">
      <c r="M377" s="184"/>
      <c r="N377" s="185"/>
      <c r="O377" s="186"/>
      <c r="P377" s="187"/>
      <c r="Q377" s="187"/>
    </row>
    <row r="378" spans="13:17" ht="15.75" customHeight="1" x14ac:dyDescent="0.25">
      <c r="M378" s="184"/>
      <c r="N378" s="185"/>
      <c r="O378" s="186"/>
      <c r="P378" s="187"/>
      <c r="Q378" s="187"/>
    </row>
    <row r="379" spans="13:17" ht="15.75" customHeight="1" x14ac:dyDescent="0.25">
      <c r="M379" s="184"/>
      <c r="N379" s="185"/>
      <c r="O379" s="186"/>
      <c r="P379" s="187"/>
      <c r="Q379" s="187"/>
    </row>
    <row r="380" spans="13:17" ht="15.75" customHeight="1" x14ac:dyDescent="0.25">
      <c r="M380" s="184"/>
      <c r="N380" s="185"/>
      <c r="O380" s="186"/>
      <c r="P380" s="187"/>
      <c r="Q380" s="187"/>
    </row>
    <row r="381" spans="13:17" ht="15.75" customHeight="1" x14ac:dyDescent="0.25">
      <c r="M381" s="184"/>
      <c r="N381" s="185"/>
      <c r="O381" s="186"/>
      <c r="P381" s="187"/>
      <c r="Q381" s="187"/>
    </row>
    <row r="382" spans="13:17" ht="15.75" customHeight="1" x14ac:dyDescent="0.25">
      <c r="M382" s="184"/>
      <c r="N382" s="185"/>
      <c r="O382" s="186"/>
      <c r="P382" s="187"/>
      <c r="Q382" s="187"/>
    </row>
    <row r="383" spans="13:17" ht="15.75" customHeight="1" x14ac:dyDescent="0.25">
      <c r="M383" s="184"/>
      <c r="N383" s="185"/>
      <c r="O383" s="186"/>
      <c r="P383" s="187"/>
      <c r="Q383" s="187"/>
    </row>
    <row r="384" spans="13:17" ht="15.75" customHeight="1" x14ac:dyDescent="0.25">
      <c r="M384" s="184"/>
      <c r="N384" s="185"/>
      <c r="O384" s="186"/>
      <c r="P384" s="187"/>
      <c r="Q384" s="187"/>
    </row>
    <row r="385" spans="13:17" ht="15.75" customHeight="1" x14ac:dyDescent="0.25">
      <c r="M385" s="184"/>
      <c r="N385" s="185"/>
      <c r="O385" s="186"/>
      <c r="P385" s="187"/>
      <c r="Q385" s="187"/>
    </row>
    <row r="386" spans="13:17" ht="15.75" customHeight="1" x14ac:dyDescent="0.25">
      <c r="M386" s="184"/>
      <c r="N386" s="185"/>
      <c r="O386" s="186"/>
      <c r="P386" s="187"/>
      <c r="Q386" s="187"/>
    </row>
    <row r="387" spans="13:17" ht="15.75" customHeight="1" x14ac:dyDescent="0.25">
      <c r="M387" s="184"/>
      <c r="N387" s="185"/>
      <c r="O387" s="186"/>
      <c r="P387" s="187"/>
      <c r="Q387" s="187"/>
    </row>
    <row r="388" spans="13:17" ht="15.75" customHeight="1" x14ac:dyDescent="0.25">
      <c r="M388" s="184"/>
      <c r="N388" s="185"/>
      <c r="O388" s="186"/>
      <c r="P388" s="187"/>
      <c r="Q388" s="187"/>
    </row>
    <row r="389" spans="13:17" ht="15.75" customHeight="1" x14ac:dyDescent="0.25">
      <c r="M389" s="184"/>
      <c r="N389" s="185"/>
      <c r="O389" s="186"/>
      <c r="P389" s="187"/>
      <c r="Q389" s="187"/>
    </row>
    <row r="390" spans="13:17" ht="15.75" customHeight="1" x14ac:dyDescent="0.25">
      <c r="M390" s="184"/>
      <c r="N390" s="185"/>
      <c r="O390" s="186"/>
      <c r="P390" s="187"/>
      <c r="Q390" s="187"/>
    </row>
    <row r="391" spans="13:17" ht="15.75" customHeight="1" x14ac:dyDescent="0.25">
      <c r="M391" s="184"/>
      <c r="N391" s="185"/>
      <c r="O391" s="186"/>
      <c r="P391" s="187"/>
      <c r="Q391" s="187"/>
    </row>
    <row r="392" spans="13:17" ht="15.75" customHeight="1" x14ac:dyDescent="0.25">
      <c r="M392" s="184"/>
      <c r="N392" s="185"/>
      <c r="O392" s="186"/>
      <c r="P392" s="187"/>
      <c r="Q392" s="187"/>
    </row>
    <row r="393" spans="13:17" ht="15.75" customHeight="1" x14ac:dyDescent="0.25">
      <c r="M393" s="184"/>
      <c r="N393" s="185"/>
      <c r="O393" s="186"/>
      <c r="P393" s="187"/>
      <c r="Q393" s="187"/>
    </row>
    <row r="394" spans="13:17" ht="15.75" customHeight="1" x14ac:dyDescent="0.25">
      <c r="M394" s="184"/>
      <c r="N394" s="185"/>
      <c r="O394" s="186"/>
      <c r="P394" s="187"/>
      <c r="Q394" s="187"/>
    </row>
    <row r="395" spans="13:17" ht="15.75" customHeight="1" x14ac:dyDescent="0.25">
      <c r="M395" s="184"/>
      <c r="N395" s="185"/>
      <c r="O395" s="186"/>
      <c r="P395" s="187"/>
      <c r="Q395" s="187"/>
    </row>
    <row r="396" spans="13:17" ht="15.75" customHeight="1" x14ac:dyDescent="0.25">
      <c r="M396" s="184"/>
      <c r="N396" s="185"/>
      <c r="O396" s="186"/>
      <c r="P396" s="187"/>
      <c r="Q396" s="187"/>
    </row>
    <row r="397" spans="13:17" ht="15.75" customHeight="1" x14ac:dyDescent="0.25">
      <c r="M397" s="184"/>
      <c r="N397" s="185"/>
      <c r="O397" s="186"/>
      <c r="P397" s="187"/>
      <c r="Q397" s="187"/>
    </row>
    <row r="398" spans="13:17" ht="15.75" customHeight="1" x14ac:dyDescent="0.25">
      <c r="M398" s="184"/>
      <c r="N398" s="185"/>
      <c r="O398" s="186"/>
      <c r="P398" s="187"/>
      <c r="Q398" s="187"/>
    </row>
    <row r="399" spans="13:17" ht="15.75" customHeight="1" x14ac:dyDescent="0.25">
      <c r="M399" s="184"/>
      <c r="N399" s="185"/>
      <c r="O399" s="186"/>
      <c r="P399" s="187"/>
      <c r="Q399" s="187"/>
    </row>
    <row r="400" spans="13:17" ht="15.75" customHeight="1" x14ac:dyDescent="0.25">
      <c r="M400" s="184"/>
      <c r="N400" s="185"/>
      <c r="O400" s="186"/>
      <c r="P400" s="187"/>
      <c r="Q400" s="187"/>
    </row>
    <row r="401" spans="13:17" ht="15.75" customHeight="1" x14ac:dyDescent="0.25">
      <c r="M401" s="184"/>
      <c r="N401" s="185"/>
      <c r="O401" s="186"/>
      <c r="P401" s="187"/>
      <c r="Q401" s="187"/>
    </row>
    <row r="402" spans="13:17" ht="15.75" customHeight="1" x14ac:dyDescent="0.25">
      <c r="M402" s="184"/>
      <c r="N402" s="185"/>
      <c r="O402" s="186"/>
      <c r="P402" s="187"/>
      <c r="Q402" s="187"/>
    </row>
    <row r="403" spans="13:17" ht="15.75" customHeight="1" x14ac:dyDescent="0.25">
      <c r="M403" s="184"/>
      <c r="N403" s="185"/>
      <c r="O403" s="186"/>
      <c r="P403" s="187"/>
      <c r="Q403" s="187"/>
    </row>
    <row r="404" spans="13:17" ht="15.75" customHeight="1" x14ac:dyDescent="0.25">
      <c r="M404" s="184"/>
      <c r="N404" s="185"/>
      <c r="O404" s="186"/>
      <c r="P404" s="187"/>
      <c r="Q404" s="187"/>
    </row>
    <row r="405" spans="13:17" ht="15.75" customHeight="1" x14ac:dyDescent="0.25">
      <c r="M405" s="184"/>
      <c r="N405" s="185"/>
      <c r="O405" s="186"/>
      <c r="P405" s="187"/>
      <c r="Q405" s="187"/>
    </row>
    <row r="406" spans="13:17" ht="15.75" customHeight="1" x14ac:dyDescent="0.25">
      <c r="M406" s="184"/>
      <c r="N406" s="185"/>
      <c r="O406" s="186"/>
      <c r="P406" s="187"/>
      <c r="Q406" s="187"/>
    </row>
    <row r="407" spans="13:17" ht="15.75" customHeight="1" x14ac:dyDescent="0.25">
      <c r="M407" s="184"/>
      <c r="N407" s="185"/>
      <c r="O407" s="186"/>
      <c r="P407" s="187"/>
      <c r="Q407" s="187"/>
    </row>
    <row r="408" spans="13:17" ht="15.75" customHeight="1" x14ac:dyDescent="0.25">
      <c r="M408" s="184"/>
      <c r="N408" s="185"/>
      <c r="O408" s="186"/>
      <c r="P408" s="187"/>
      <c r="Q408" s="187"/>
    </row>
    <row r="409" spans="13:17" ht="15.75" customHeight="1" x14ac:dyDescent="0.25">
      <c r="M409" s="184"/>
      <c r="N409" s="185"/>
      <c r="O409" s="186"/>
      <c r="P409" s="187"/>
      <c r="Q409" s="187"/>
    </row>
    <row r="410" spans="13:17" ht="15.75" customHeight="1" x14ac:dyDescent="0.25">
      <c r="M410" s="184"/>
      <c r="N410" s="185"/>
      <c r="O410" s="186"/>
      <c r="P410" s="187"/>
      <c r="Q410" s="187"/>
    </row>
    <row r="411" spans="13:17" ht="15.75" customHeight="1" x14ac:dyDescent="0.25">
      <c r="M411" s="184"/>
      <c r="N411" s="185"/>
      <c r="O411" s="186"/>
      <c r="P411" s="187"/>
      <c r="Q411" s="187"/>
    </row>
    <row r="412" spans="13:17" ht="15.75" customHeight="1" x14ac:dyDescent="0.25">
      <c r="M412" s="184"/>
      <c r="N412" s="185"/>
      <c r="O412" s="186"/>
      <c r="P412" s="187"/>
      <c r="Q412" s="187"/>
    </row>
    <row r="413" spans="13:17" ht="15.75" customHeight="1" x14ac:dyDescent="0.25">
      <c r="M413" s="184"/>
      <c r="N413" s="185"/>
      <c r="O413" s="186"/>
      <c r="P413" s="187"/>
      <c r="Q413" s="187"/>
    </row>
    <row r="414" spans="13:17" ht="15.75" customHeight="1" x14ac:dyDescent="0.25">
      <c r="M414" s="184"/>
      <c r="N414" s="185"/>
      <c r="O414" s="186"/>
      <c r="P414" s="187"/>
      <c r="Q414" s="187"/>
    </row>
    <row r="415" spans="13:17" ht="15.75" customHeight="1" x14ac:dyDescent="0.25">
      <c r="M415" s="184"/>
      <c r="N415" s="185"/>
      <c r="O415" s="186"/>
      <c r="P415" s="187"/>
      <c r="Q415" s="187"/>
    </row>
    <row r="416" spans="13:17" ht="15.75" customHeight="1" x14ac:dyDescent="0.25">
      <c r="M416" s="184"/>
      <c r="N416" s="185"/>
      <c r="O416" s="186"/>
      <c r="P416" s="187"/>
      <c r="Q416" s="187"/>
    </row>
    <row r="417" spans="13:17" ht="15.75" customHeight="1" x14ac:dyDescent="0.25">
      <c r="M417" s="184"/>
      <c r="N417" s="185"/>
      <c r="O417" s="186"/>
      <c r="P417" s="187"/>
      <c r="Q417" s="187"/>
    </row>
    <row r="418" spans="13:17" ht="15.75" customHeight="1" x14ac:dyDescent="0.25">
      <c r="M418" s="184"/>
      <c r="N418" s="185"/>
      <c r="O418" s="186"/>
      <c r="P418" s="187"/>
      <c r="Q418" s="187"/>
    </row>
    <row r="419" spans="13:17" ht="15.75" customHeight="1" x14ac:dyDescent="0.25">
      <c r="M419" s="184"/>
      <c r="N419" s="185"/>
      <c r="O419" s="186"/>
      <c r="P419" s="187"/>
      <c r="Q419" s="187"/>
    </row>
    <row r="420" spans="13:17" ht="15.75" customHeight="1" x14ac:dyDescent="0.25">
      <c r="M420" s="184"/>
      <c r="N420" s="185"/>
      <c r="O420" s="186"/>
      <c r="P420" s="187"/>
      <c r="Q420" s="187"/>
    </row>
    <row r="421" spans="13:17" ht="15.75" customHeight="1" x14ac:dyDescent="0.25">
      <c r="M421" s="184"/>
      <c r="N421" s="185"/>
      <c r="O421" s="186"/>
      <c r="P421" s="187"/>
      <c r="Q421" s="187"/>
    </row>
    <row r="422" spans="13:17" ht="15.75" customHeight="1" x14ac:dyDescent="0.25">
      <c r="M422" s="184"/>
      <c r="N422" s="185"/>
      <c r="O422" s="186"/>
      <c r="P422" s="187"/>
      <c r="Q422" s="187"/>
    </row>
    <row r="423" spans="13:17" ht="15.75" customHeight="1" x14ac:dyDescent="0.25">
      <c r="M423" s="184"/>
      <c r="N423" s="185"/>
      <c r="O423" s="186"/>
      <c r="P423" s="187"/>
      <c r="Q423" s="187"/>
    </row>
    <row r="424" spans="13:17" ht="15.75" customHeight="1" x14ac:dyDescent="0.25">
      <c r="M424" s="184"/>
      <c r="N424" s="185"/>
      <c r="O424" s="186"/>
      <c r="P424" s="187"/>
      <c r="Q424" s="187"/>
    </row>
    <row r="425" spans="13:17" ht="15.75" customHeight="1" x14ac:dyDescent="0.25">
      <c r="M425" s="184"/>
      <c r="N425" s="185"/>
      <c r="O425" s="186"/>
      <c r="P425" s="187"/>
      <c r="Q425" s="187"/>
    </row>
    <row r="426" spans="13:17" ht="15.75" customHeight="1" x14ac:dyDescent="0.25">
      <c r="M426" s="184"/>
      <c r="N426" s="185"/>
      <c r="O426" s="186"/>
      <c r="P426" s="187"/>
      <c r="Q426" s="187"/>
    </row>
    <row r="427" spans="13:17" ht="15.75" customHeight="1" x14ac:dyDescent="0.25">
      <c r="M427" s="184"/>
      <c r="N427" s="185"/>
      <c r="O427" s="186"/>
      <c r="P427" s="187"/>
      <c r="Q427" s="187"/>
    </row>
    <row r="428" spans="13:17" ht="15.75" customHeight="1" x14ac:dyDescent="0.25">
      <c r="M428" s="184"/>
      <c r="N428" s="185"/>
      <c r="O428" s="186"/>
      <c r="P428" s="187"/>
      <c r="Q428" s="187"/>
    </row>
    <row r="429" spans="13:17" ht="15.75" customHeight="1" x14ac:dyDescent="0.25">
      <c r="M429" s="184"/>
      <c r="N429" s="185"/>
      <c r="O429" s="186"/>
      <c r="P429" s="187"/>
      <c r="Q429" s="187"/>
    </row>
    <row r="430" spans="13:17" ht="15.75" customHeight="1" x14ac:dyDescent="0.25">
      <c r="M430" s="184"/>
      <c r="N430" s="185"/>
      <c r="O430" s="186"/>
      <c r="P430" s="187"/>
      <c r="Q430" s="187"/>
    </row>
    <row r="431" spans="13:17" ht="15.75" customHeight="1" x14ac:dyDescent="0.25">
      <c r="M431" s="184"/>
      <c r="N431" s="185"/>
      <c r="O431" s="186"/>
      <c r="P431" s="187"/>
      <c r="Q431" s="187"/>
    </row>
    <row r="432" spans="13:17" ht="15.75" customHeight="1" x14ac:dyDescent="0.25">
      <c r="M432" s="184"/>
      <c r="N432" s="185"/>
      <c r="O432" s="186"/>
      <c r="P432" s="187"/>
      <c r="Q432" s="187"/>
    </row>
    <row r="433" spans="13:17" ht="15.75" customHeight="1" x14ac:dyDescent="0.25">
      <c r="M433" s="184"/>
      <c r="N433" s="185"/>
      <c r="O433" s="186"/>
      <c r="P433" s="187"/>
      <c r="Q433" s="187"/>
    </row>
    <row r="434" spans="13:17" ht="15.75" customHeight="1" x14ac:dyDescent="0.25">
      <c r="M434" s="184"/>
      <c r="N434" s="185"/>
      <c r="O434" s="186"/>
      <c r="P434" s="187"/>
      <c r="Q434" s="187"/>
    </row>
    <row r="435" spans="13:17" ht="15.75" customHeight="1" x14ac:dyDescent="0.25">
      <c r="M435" s="184"/>
      <c r="N435" s="185"/>
      <c r="O435" s="186"/>
      <c r="P435" s="187"/>
      <c r="Q435" s="187"/>
    </row>
    <row r="436" spans="13:17" ht="15.75" customHeight="1" x14ac:dyDescent="0.25">
      <c r="M436" s="184"/>
      <c r="N436" s="185"/>
      <c r="O436" s="186"/>
      <c r="P436" s="187"/>
      <c r="Q436" s="187"/>
    </row>
    <row r="437" spans="13:17" ht="15.75" customHeight="1" x14ac:dyDescent="0.25">
      <c r="M437" s="184"/>
      <c r="N437" s="185"/>
      <c r="O437" s="186"/>
      <c r="P437" s="187"/>
      <c r="Q437" s="187"/>
    </row>
    <row r="438" spans="13:17" ht="15.75" customHeight="1" x14ac:dyDescent="0.25">
      <c r="M438" s="184"/>
      <c r="N438" s="185"/>
      <c r="O438" s="186"/>
      <c r="P438" s="187"/>
      <c r="Q438" s="187"/>
    </row>
    <row r="439" spans="13:17" ht="15.75" customHeight="1" x14ac:dyDescent="0.25">
      <c r="M439" s="184"/>
      <c r="N439" s="185"/>
      <c r="O439" s="186"/>
      <c r="P439" s="187"/>
      <c r="Q439" s="187"/>
    </row>
    <row r="440" spans="13:17" ht="15.75" customHeight="1" x14ac:dyDescent="0.25">
      <c r="M440" s="184"/>
      <c r="N440" s="185"/>
      <c r="O440" s="186"/>
      <c r="P440" s="187"/>
      <c r="Q440" s="187"/>
    </row>
    <row r="441" spans="13:17" ht="15.75" customHeight="1" x14ac:dyDescent="0.25">
      <c r="M441" s="184"/>
      <c r="N441" s="185"/>
      <c r="O441" s="186"/>
      <c r="P441" s="187"/>
      <c r="Q441" s="187"/>
    </row>
    <row r="442" spans="13:17" ht="15.75" customHeight="1" x14ac:dyDescent="0.25">
      <c r="M442" s="184"/>
      <c r="N442" s="185"/>
      <c r="O442" s="186"/>
      <c r="P442" s="187"/>
      <c r="Q442" s="187"/>
    </row>
    <row r="443" spans="13:17" ht="15.75" customHeight="1" x14ac:dyDescent="0.25">
      <c r="M443" s="184"/>
      <c r="N443" s="185"/>
      <c r="O443" s="186"/>
      <c r="P443" s="187"/>
      <c r="Q443" s="187"/>
    </row>
    <row r="444" spans="13:17" ht="15.75" customHeight="1" x14ac:dyDescent="0.25">
      <c r="M444" s="184"/>
      <c r="N444" s="185"/>
      <c r="O444" s="186"/>
      <c r="P444" s="187"/>
      <c r="Q444" s="187"/>
    </row>
    <row r="445" spans="13:17" ht="15.75" customHeight="1" x14ac:dyDescent="0.25">
      <c r="M445" s="184"/>
      <c r="N445" s="185"/>
      <c r="O445" s="186"/>
      <c r="P445" s="187"/>
      <c r="Q445" s="187"/>
    </row>
    <row r="446" spans="13:17" ht="15.75" customHeight="1" x14ac:dyDescent="0.25">
      <c r="M446" s="184"/>
      <c r="N446" s="185"/>
      <c r="O446" s="186"/>
      <c r="P446" s="187"/>
      <c r="Q446" s="187"/>
    </row>
    <row r="447" spans="13:17" ht="15.75" customHeight="1" x14ac:dyDescent="0.25">
      <c r="M447" s="184"/>
      <c r="N447" s="185"/>
      <c r="O447" s="186"/>
      <c r="P447" s="187"/>
      <c r="Q447" s="187"/>
    </row>
    <row r="448" spans="13:17" ht="15.75" customHeight="1" x14ac:dyDescent="0.25">
      <c r="M448" s="184"/>
      <c r="N448" s="185"/>
      <c r="O448" s="186"/>
      <c r="P448" s="187"/>
      <c r="Q448" s="187"/>
    </row>
    <row r="449" spans="13:17" ht="15.75" customHeight="1" x14ac:dyDescent="0.25">
      <c r="M449" s="184"/>
      <c r="N449" s="185"/>
      <c r="O449" s="186"/>
      <c r="P449" s="187"/>
      <c r="Q449" s="187"/>
    </row>
    <row r="450" spans="13:17" ht="15.75" customHeight="1" x14ac:dyDescent="0.25">
      <c r="M450" s="184"/>
      <c r="N450" s="185"/>
      <c r="O450" s="186"/>
      <c r="P450" s="187"/>
      <c r="Q450" s="187"/>
    </row>
    <row r="451" spans="13:17" ht="15.75" customHeight="1" x14ac:dyDescent="0.25">
      <c r="M451" s="184"/>
      <c r="N451" s="185"/>
      <c r="O451" s="186"/>
      <c r="P451" s="187"/>
      <c r="Q451" s="187"/>
    </row>
    <row r="452" spans="13:17" ht="15.75" customHeight="1" x14ac:dyDescent="0.25">
      <c r="M452" s="184"/>
      <c r="N452" s="185"/>
      <c r="O452" s="186"/>
      <c r="P452" s="187"/>
      <c r="Q452" s="187"/>
    </row>
    <row r="453" spans="13:17" ht="15.75" customHeight="1" x14ac:dyDescent="0.25">
      <c r="M453" s="184"/>
      <c r="N453" s="185"/>
      <c r="O453" s="186"/>
      <c r="P453" s="187"/>
      <c r="Q453" s="187"/>
    </row>
    <row r="454" spans="13:17" ht="15.75" customHeight="1" x14ac:dyDescent="0.25">
      <c r="M454" s="184"/>
      <c r="N454" s="185"/>
      <c r="O454" s="186"/>
      <c r="P454" s="187"/>
      <c r="Q454" s="187"/>
    </row>
    <row r="455" spans="13:17" ht="15.75" customHeight="1" x14ac:dyDescent="0.25">
      <c r="M455" s="184"/>
      <c r="N455" s="185"/>
      <c r="O455" s="186"/>
      <c r="P455" s="187"/>
      <c r="Q455" s="187"/>
    </row>
    <row r="456" spans="13:17" ht="15.75" customHeight="1" x14ac:dyDescent="0.25">
      <c r="M456" s="184"/>
      <c r="N456" s="185"/>
      <c r="O456" s="186"/>
      <c r="P456" s="187"/>
      <c r="Q456" s="187"/>
    </row>
    <row r="457" spans="13:17" ht="15.75" customHeight="1" x14ac:dyDescent="0.25">
      <c r="M457" s="184"/>
      <c r="N457" s="185"/>
      <c r="O457" s="186"/>
      <c r="P457" s="187"/>
      <c r="Q457" s="187"/>
    </row>
    <row r="458" spans="13:17" ht="15.75" customHeight="1" x14ac:dyDescent="0.25">
      <c r="M458" s="184"/>
      <c r="N458" s="185"/>
      <c r="O458" s="186"/>
      <c r="P458" s="187"/>
      <c r="Q458" s="187"/>
    </row>
    <row r="459" spans="13:17" ht="15.75" customHeight="1" x14ac:dyDescent="0.25">
      <c r="M459" s="184"/>
      <c r="N459" s="185"/>
      <c r="O459" s="186"/>
      <c r="P459" s="187"/>
      <c r="Q459" s="187"/>
    </row>
    <row r="460" spans="13:17" ht="15.75" customHeight="1" x14ac:dyDescent="0.25">
      <c r="M460" s="184"/>
      <c r="N460" s="185"/>
      <c r="O460" s="186"/>
      <c r="P460" s="187"/>
      <c r="Q460" s="187"/>
    </row>
    <row r="461" spans="13:17" ht="15.75" customHeight="1" x14ac:dyDescent="0.25">
      <c r="M461" s="184"/>
      <c r="N461" s="185"/>
      <c r="O461" s="186"/>
      <c r="P461" s="187"/>
      <c r="Q461" s="187"/>
    </row>
    <row r="462" spans="13:17" ht="15.75" customHeight="1" x14ac:dyDescent="0.25">
      <c r="M462" s="184"/>
      <c r="N462" s="185"/>
      <c r="O462" s="186"/>
      <c r="P462" s="187"/>
      <c r="Q462" s="187"/>
    </row>
    <row r="463" spans="13:17" ht="15.75" customHeight="1" x14ac:dyDescent="0.25">
      <c r="M463" s="184"/>
      <c r="N463" s="185"/>
      <c r="O463" s="186"/>
      <c r="P463" s="187"/>
      <c r="Q463" s="187"/>
    </row>
    <row r="464" spans="13:17" ht="15.75" customHeight="1" x14ac:dyDescent="0.25">
      <c r="M464" s="184"/>
      <c r="N464" s="185"/>
      <c r="O464" s="186"/>
      <c r="P464" s="187"/>
      <c r="Q464" s="187"/>
    </row>
    <row r="465" spans="13:17" ht="15.75" customHeight="1" x14ac:dyDescent="0.25">
      <c r="M465" s="184"/>
      <c r="N465" s="185"/>
      <c r="O465" s="186"/>
      <c r="P465" s="187"/>
      <c r="Q465" s="187"/>
    </row>
    <row r="466" spans="13:17" ht="15.75" customHeight="1" x14ac:dyDescent="0.25">
      <c r="M466" s="184"/>
      <c r="N466" s="185"/>
      <c r="O466" s="186"/>
      <c r="P466" s="187"/>
      <c r="Q466" s="187"/>
    </row>
    <row r="467" spans="13:17" ht="15.75" customHeight="1" x14ac:dyDescent="0.25">
      <c r="M467" s="184"/>
      <c r="N467" s="185"/>
      <c r="O467" s="186"/>
      <c r="P467" s="187"/>
      <c r="Q467" s="187"/>
    </row>
    <row r="468" spans="13:17" ht="15.75" customHeight="1" x14ac:dyDescent="0.25">
      <c r="M468" s="184"/>
      <c r="N468" s="185"/>
      <c r="O468" s="186"/>
      <c r="P468" s="187"/>
      <c r="Q468" s="187"/>
    </row>
    <row r="469" spans="13:17" ht="15.75" customHeight="1" x14ac:dyDescent="0.25">
      <c r="M469" s="184"/>
      <c r="N469" s="185"/>
      <c r="O469" s="186"/>
      <c r="P469" s="187"/>
      <c r="Q469" s="187"/>
    </row>
    <row r="470" spans="13:17" ht="15.75" customHeight="1" x14ac:dyDescent="0.25">
      <c r="M470" s="184"/>
      <c r="N470" s="185"/>
      <c r="O470" s="186"/>
      <c r="P470" s="187"/>
      <c r="Q470" s="187"/>
    </row>
    <row r="471" spans="13:17" ht="15.75" customHeight="1" x14ac:dyDescent="0.25">
      <c r="M471" s="184"/>
      <c r="N471" s="185"/>
      <c r="O471" s="186"/>
      <c r="P471" s="187"/>
      <c r="Q471" s="187"/>
    </row>
    <row r="472" spans="13:17" ht="15.75" customHeight="1" x14ac:dyDescent="0.25">
      <c r="M472" s="184"/>
      <c r="N472" s="185"/>
      <c r="O472" s="186"/>
      <c r="P472" s="187"/>
      <c r="Q472" s="187"/>
    </row>
    <row r="473" spans="13:17" ht="15.75" customHeight="1" x14ac:dyDescent="0.25">
      <c r="M473" s="184"/>
      <c r="N473" s="185"/>
      <c r="O473" s="186"/>
      <c r="P473" s="187"/>
      <c r="Q473" s="187"/>
    </row>
    <row r="474" spans="13:17" ht="15.75" customHeight="1" x14ac:dyDescent="0.25">
      <c r="M474" s="184"/>
      <c r="N474" s="185"/>
      <c r="O474" s="186"/>
      <c r="P474" s="187"/>
      <c r="Q474" s="187"/>
    </row>
    <row r="475" spans="13:17" ht="15.75" customHeight="1" x14ac:dyDescent="0.25">
      <c r="M475" s="184"/>
      <c r="N475" s="185"/>
      <c r="O475" s="186"/>
      <c r="P475" s="187"/>
      <c r="Q475" s="187"/>
    </row>
    <row r="476" spans="13:17" ht="15.75" customHeight="1" x14ac:dyDescent="0.25">
      <c r="M476" s="184"/>
      <c r="N476" s="185"/>
      <c r="O476" s="186"/>
      <c r="P476" s="187"/>
      <c r="Q476" s="187"/>
    </row>
    <row r="477" spans="13:17" ht="15.75" customHeight="1" x14ac:dyDescent="0.25">
      <c r="M477" s="184"/>
      <c r="N477" s="185"/>
      <c r="O477" s="186"/>
      <c r="P477" s="187"/>
      <c r="Q477" s="187"/>
    </row>
    <row r="478" spans="13:17" ht="15.75" customHeight="1" x14ac:dyDescent="0.25">
      <c r="M478" s="184"/>
      <c r="N478" s="185"/>
      <c r="O478" s="186"/>
      <c r="P478" s="187"/>
      <c r="Q478" s="187"/>
    </row>
    <row r="479" spans="13:17" ht="15.75" customHeight="1" x14ac:dyDescent="0.25">
      <c r="M479" s="184"/>
      <c r="N479" s="185"/>
      <c r="O479" s="186"/>
      <c r="P479" s="187"/>
      <c r="Q479" s="187"/>
    </row>
    <row r="480" spans="13:17" ht="15.75" customHeight="1" x14ac:dyDescent="0.25">
      <c r="M480" s="184"/>
      <c r="N480" s="185"/>
      <c r="O480" s="186"/>
      <c r="P480" s="187"/>
      <c r="Q480" s="187"/>
    </row>
    <row r="481" spans="13:17" ht="15.75" customHeight="1" x14ac:dyDescent="0.25">
      <c r="M481" s="184"/>
      <c r="N481" s="185"/>
      <c r="O481" s="186"/>
      <c r="P481" s="187"/>
      <c r="Q481" s="187"/>
    </row>
    <row r="482" spans="13:17" ht="15.75" customHeight="1" x14ac:dyDescent="0.25">
      <c r="M482" s="184"/>
      <c r="N482" s="185"/>
      <c r="O482" s="186"/>
      <c r="P482" s="187"/>
      <c r="Q482" s="187"/>
    </row>
    <row r="483" spans="13:17" ht="15.75" customHeight="1" x14ac:dyDescent="0.25">
      <c r="M483" s="184"/>
      <c r="N483" s="185"/>
      <c r="O483" s="186"/>
      <c r="P483" s="187"/>
      <c r="Q483" s="187"/>
    </row>
    <row r="484" spans="13:17" ht="15.75" customHeight="1" x14ac:dyDescent="0.25">
      <c r="M484" s="184"/>
      <c r="N484" s="185"/>
      <c r="O484" s="186"/>
      <c r="P484" s="187"/>
      <c r="Q484" s="187"/>
    </row>
    <row r="485" spans="13:17" ht="15.75" customHeight="1" x14ac:dyDescent="0.25">
      <c r="M485" s="184"/>
      <c r="N485" s="185"/>
      <c r="O485" s="186"/>
      <c r="P485" s="187"/>
      <c r="Q485" s="187"/>
    </row>
    <row r="486" spans="13:17" ht="15.75" customHeight="1" x14ac:dyDescent="0.25">
      <c r="M486" s="184"/>
      <c r="N486" s="185"/>
      <c r="O486" s="186"/>
      <c r="P486" s="187"/>
      <c r="Q486" s="187"/>
    </row>
    <row r="487" spans="13:17" ht="15.75" customHeight="1" x14ac:dyDescent="0.25">
      <c r="M487" s="184"/>
      <c r="N487" s="185"/>
      <c r="O487" s="186"/>
      <c r="P487" s="187"/>
      <c r="Q487" s="187"/>
    </row>
    <row r="488" spans="13:17" ht="15.75" customHeight="1" x14ac:dyDescent="0.25">
      <c r="M488" s="184"/>
      <c r="N488" s="185"/>
      <c r="O488" s="186"/>
      <c r="P488" s="187"/>
      <c r="Q488" s="187"/>
    </row>
    <row r="489" spans="13:17" ht="15.75" customHeight="1" x14ac:dyDescent="0.25">
      <c r="M489" s="184"/>
      <c r="N489" s="185"/>
      <c r="O489" s="186"/>
      <c r="P489" s="187"/>
      <c r="Q489" s="187"/>
    </row>
    <row r="490" spans="13:17" ht="15.75" customHeight="1" x14ac:dyDescent="0.25">
      <c r="M490" s="184"/>
      <c r="N490" s="185"/>
      <c r="O490" s="186"/>
      <c r="P490" s="187"/>
      <c r="Q490" s="187"/>
    </row>
    <row r="491" spans="13:17" ht="15.75" customHeight="1" x14ac:dyDescent="0.25">
      <c r="M491" s="184"/>
      <c r="N491" s="185"/>
      <c r="O491" s="186"/>
      <c r="P491" s="187"/>
      <c r="Q491" s="187"/>
    </row>
    <row r="492" spans="13:17" ht="15.75" customHeight="1" x14ac:dyDescent="0.25">
      <c r="M492" s="184"/>
      <c r="N492" s="185"/>
      <c r="O492" s="186"/>
      <c r="P492" s="187"/>
      <c r="Q492" s="187"/>
    </row>
    <row r="493" spans="13:17" ht="15.75" customHeight="1" x14ac:dyDescent="0.25">
      <c r="M493" s="184"/>
      <c r="N493" s="185"/>
      <c r="O493" s="186"/>
      <c r="P493" s="187"/>
      <c r="Q493" s="187"/>
    </row>
    <row r="494" spans="13:17" ht="15.75" customHeight="1" x14ac:dyDescent="0.25">
      <c r="M494" s="184"/>
      <c r="N494" s="185"/>
      <c r="O494" s="186"/>
      <c r="P494" s="187"/>
      <c r="Q494" s="187"/>
    </row>
    <row r="495" spans="13:17" ht="15.75" customHeight="1" x14ac:dyDescent="0.25">
      <c r="M495" s="184"/>
      <c r="N495" s="185"/>
      <c r="O495" s="186"/>
      <c r="P495" s="187"/>
      <c r="Q495" s="187"/>
    </row>
    <row r="496" spans="13:17" ht="15.75" customHeight="1" x14ac:dyDescent="0.25">
      <c r="M496" s="184"/>
      <c r="N496" s="185"/>
      <c r="O496" s="186"/>
      <c r="P496" s="187"/>
      <c r="Q496" s="187"/>
    </row>
    <row r="497" spans="13:17" ht="15.75" customHeight="1" x14ac:dyDescent="0.25">
      <c r="M497" s="184"/>
      <c r="N497" s="185"/>
      <c r="O497" s="186"/>
      <c r="P497" s="187"/>
      <c r="Q497" s="187"/>
    </row>
    <row r="498" spans="13:17" ht="15.75" customHeight="1" x14ac:dyDescent="0.25">
      <c r="M498" s="184"/>
      <c r="N498" s="185"/>
      <c r="O498" s="186"/>
      <c r="P498" s="187"/>
      <c r="Q498" s="187"/>
    </row>
    <row r="499" spans="13:17" ht="15.75" customHeight="1" x14ac:dyDescent="0.25">
      <c r="M499" s="184"/>
      <c r="N499" s="185"/>
      <c r="O499" s="186"/>
      <c r="P499" s="187"/>
      <c r="Q499" s="187"/>
    </row>
    <row r="500" spans="13:17" ht="15.75" customHeight="1" x14ac:dyDescent="0.25">
      <c r="M500" s="184"/>
      <c r="N500" s="185"/>
      <c r="O500" s="186"/>
      <c r="P500" s="187"/>
      <c r="Q500" s="187"/>
    </row>
    <row r="501" spans="13:17" ht="15.75" customHeight="1" x14ac:dyDescent="0.25">
      <c r="M501" s="184"/>
      <c r="N501" s="185"/>
      <c r="O501" s="186"/>
      <c r="P501" s="187"/>
      <c r="Q501" s="187"/>
    </row>
    <row r="502" spans="13:17" ht="15.75" customHeight="1" x14ac:dyDescent="0.25">
      <c r="M502" s="184"/>
      <c r="N502" s="185"/>
      <c r="O502" s="186"/>
      <c r="P502" s="187"/>
      <c r="Q502" s="187"/>
    </row>
    <row r="503" spans="13:17" ht="15.75" customHeight="1" x14ac:dyDescent="0.25">
      <c r="M503" s="184"/>
      <c r="N503" s="185"/>
      <c r="O503" s="186"/>
      <c r="P503" s="187"/>
      <c r="Q503" s="187"/>
    </row>
    <row r="504" spans="13:17" ht="15.75" customHeight="1" x14ac:dyDescent="0.25">
      <c r="M504" s="184"/>
      <c r="N504" s="185"/>
      <c r="O504" s="186"/>
      <c r="P504" s="187"/>
      <c r="Q504" s="187"/>
    </row>
    <row r="505" spans="13:17" ht="15.75" customHeight="1" x14ac:dyDescent="0.25">
      <c r="M505" s="184"/>
      <c r="N505" s="185"/>
      <c r="O505" s="186"/>
      <c r="P505" s="187"/>
      <c r="Q505" s="187"/>
    </row>
    <row r="506" spans="13:17" ht="15.75" customHeight="1" x14ac:dyDescent="0.25">
      <c r="M506" s="184"/>
      <c r="N506" s="185"/>
      <c r="O506" s="186"/>
      <c r="P506" s="187"/>
      <c r="Q506" s="187"/>
    </row>
    <row r="507" spans="13:17" ht="15.75" customHeight="1" x14ac:dyDescent="0.25">
      <c r="M507" s="184"/>
      <c r="N507" s="185"/>
      <c r="O507" s="186"/>
      <c r="P507" s="187"/>
      <c r="Q507" s="187"/>
    </row>
    <row r="508" spans="13:17" ht="15.75" customHeight="1" x14ac:dyDescent="0.25">
      <c r="M508" s="184"/>
      <c r="N508" s="185"/>
      <c r="O508" s="186"/>
      <c r="P508" s="187"/>
      <c r="Q508" s="187"/>
    </row>
    <row r="509" spans="13:17" ht="15.75" customHeight="1" x14ac:dyDescent="0.25">
      <c r="M509" s="184"/>
      <c r="N509" s="185"/>
      <c r="O509" s="186"/>
      <c r="P509" s="187"/>
      <c r="Q509" s="187"/>
    </row>
    <row r="510" spans="13:17" ht="15.75" customHeight="1" x14ac:dyDescent="0.25">
      <c r="M510" s="184"/>
      <c r="N510" s="185"/>
      <c r="O510" s="186"/>
      <c r="P510" s="187"/>
      <c r="Q510" s="187"/>
    </row>
    <row r="511" spans="13:17" ht="15.75" customHeight="1" x14ac:dyDescent="0.25">
      <c r="M511" s="184"/>
      <c r="N511" s="185"/>
      <c r="O511" s="186"/>
      <c r="P511" s="187"/>
      <c r="Q511" s="187"/>
    </row>
    <row r="512" spans="13:17" ht="15.75" customHeight="1" x14ac:dyDescent="0.25">
      <c r="M512" s="184"/>
      <c r="N512" s="185"/>
      <c r="O512" s="186"/>
      <c r="P512" s="187"/>
      <c r="Q512" s="187"/>
    </row>
    <row r="513" spans="13:17" ht="15.75" customHeight="1" x14ac:dyDescent="0.25">
      <c r="M513" s="184"/>
      <c r="N513" s="185"/>
      <c r="O513" s="186"/>
      <c r="P513" s="187"/>
      <c r="Q513" s="187"/>
    </row>
    <row r="514" spans="13:17" ht="15.75" customHeight="1" x14ac:dyDescent="0.25">
      <c r="M514" s="184"/>
      <c r="N514" s="185"/>
      <c r="O514" s="186"/>
      <c r="P514" s="187"/>
      <c r="Q514" s="187"/>
    </row>
    <row r="515" spans="13:17" ht="15.75" customHeight="1" x14ac:dyDescent="0.25">
      <c r="M515" s="184"/>
      <c r="N515" s="185"/>
      <c r="O515" s="186"/>
      <c r="P515" s="187"/>
      <c r="Q515" s="187"/>
    </row>
    <row r="516" spans="13:17" ht="15.75" customHeight="1" x14ac:dyDescent="0.25">
      <c r="M516" s="184"/>
      <c r="N516" s="185"/>
      <c r="O516" s="186"/>
      <c r="P516" s="187"/>
      <c r="Q516" s="187"/>
    </row>
    <row r="517" spans="13:17" ht="15.75" customHeight="1" x14ac:dyDescent="0.25">
      <c r="M517" s="184"/>
      <c r="N517" s="185"/>
      <c r="O517" s="186"/>
      <c r="P517" s="187"/>
      <c r="Q517" s="187"/>
    </row>
    <row r="518" spans="13:17" ht="15.75" customHeight="1" x14ac:dyDescent="0.25">
      <c r="M518" s="184"/>
      <c r="N518" s="185"/>
      <c r="O518" s="186"/>
      <c r="P518" s="187"/>
      <c r="Q518" s="187"/>
    </row>
    <row r="519" spans="13:17" ht="15.75" customHeight="1" x14ac:dyDescent="0.25">
      <c r="M519" s="184"/>
      <c r="N519" s="185"/>
      <c r="O519" s="186"/>
      <c r="P519" s="187"/>
      <c r="Q519" s="187"/>
    </row>
    <row r="520" spans="13:17" ht="15.75" customHeight="1" x14ac:dyDescent="0.25">
      <c r="M520" s="184"/>
      <c r="N520" s="185"/>
      <c r="O520" s="186"/>
      <c r="P520" s="187"/>
      <c r="Q520" s="187"/>
    </row>
    <row r="521" spans="13:17" ht="15.75" customHeight="1" x14ac:dyDescent="0.25">
      <c r="M521" s="184"/>
      <c r="N521" s="185"/>
      <c r="O521" s="186"/>
      <c r="P521" s="187"/>
      <c r="Q521" s="187"/>
    </row>
    <row r="522" spans="13:17" ht="15.75" customHeight="1" x14ac:dyDescent="0.25">
      <c r="M522" s="184"/>
      <c r="N522" s="185"/>
      <c r="O522" s="186"/>
      <c r="P522" s="187"/>
      <c r="Q522" s="187"/>
    </row>
    <row r="523" spans="13:17" ht="15.75" customHeight="1" x14ac:dyDescent="0.25">
      <c r="M523" s="184"/>
      <c r="N523" s="185"/>
      <c r="O523" s="186"/>
      <c r="P523" s="187"/>
      <c r="Q523" s="187"/>
    </row>
    <row r="524" spans="13:17" ht="15.75" customHeight="1" x14ac:dyDescent="0.25">
      <c r="M524" s="184"/>
      <c r="N524" s="185"/>
      <c r="O524" s="186"/>
      <c r="P524" s="187"/>
      <c r="Q524" s="187"/>
    </row>
    <row r="525" spans="13:17" ht="15.75" customHeight="1" x14ac:dyDescent="0.25">
      <c r="M525" s="184"/>
      <c r="N525" s="185"/>
      <c r="O525" s="186"/>
      <c r="P525" s="187"/>
      <c r="Q525" s="187"/>
    </row>
    <row r="526" spans="13:17" ht="15.75" customHeight="1" x14ac:dyDescent="0.25">
      <c r="M526" s="184"/>
      <c r="N526" s="185"/>
      <c r="O526" s="186"/>
      <c r="P526" s="187"/>
      <c r="Q526" s="187"/>
    </row>
    <row r="527" spans="13:17" ht="15.75" customHeight="1" x14ac:dyDescent="0.25">
      <c r="M527" s="184"/>
      <c r="N527" s="185"/>
      <c r="O527" s="186"/>
      <c r="P527" s="187"/>
      <c r="Q527" s="187"/>
    </row>
    <row r="528" spans="13:17" ht="15.75" customHeight="1" x14ac:dyDescent="0.25">
      <c r="M528" s="184"/>
      <c r="N528" s="185"/>
      <c r="O528" s="186"/>
      <c r="P528" s="187"/>
      <c r="Q528" s="187"/>
    </row>
    <row r="529" spans="13:17" ht="15.75" customHeight="1" x14ac:dyDescent="0.25">
      <c r="M529" s="184"/>
      <c r="N529" s="185"/>
      <c r="O529" s="186"/>
      <c r="P529" s="187"/>
      <c r="Q529" s="187"/>
    </row>
    <row r="530" spans="13:17" ht="15.75" customHeight="1" x14ac:dyDescent="0.25">
      <c r="M530" s="184"/>
      <c r="N530" s="185"/>
      <c r="O530" s="186"/>
      <c r="P530" s="187"/>
      <c r="Q530" s="187"/>
    </row>
    <row r="531" spans="13:17" ht="15.75" customHeight="1" x14ac:dyDescent="0.25">
      <c r="M531" s="184"/>
      <c r="N531" s="185"/>
      <c r="O531" s="186"/>
      <c r="P531" s="187"/>
      <c r="Q531" s="187"/>
    </row>
    <row r="532" spans="13:17" ht="15.75" customHeight="1" x14ac:dyDescent="0.25">
      <c r="M532" s="184"/>
      <c r="N532" s="185"/>
      <c r="O532" s="186"/>
      <c r="P532" s="187"/>
      <c r="Q532" s="187"/>
    </row>
    <row r="533" spans="13:17" ht="15.75" customHeight="1" x14ac:dyDescent="0.25">
      <c r="M533" s="184"/>
      <c r="N533" s="185"/>
      <c r="O533" s="186"/>
      <c r="P533" s="187"/>
      <c r="Q533" s="187"/>
    </row>
    <row r="534" spans="13:17" ht="15.75" customHeight="1" x14ac:dyDescent="0.25">
      <c r="M534" s="184"/>
      <c r="N534" s="185"/>
      <c r="O534" s="186"/>
      <c r="P534" s="187"/>
      <c r="Q534" s="187"/>
    </row>
    <row r="535" spans="13:17" ht="15.75" customHeight="1" x14ac:dyDescent="0.25">
      <c r="M535" s="184"/>
      <c r="N535" s="185"/>
      <c r="O535" s="186"/>
      <c r="P535" s="187"/>
      <c r="Q535" s="187"/>
    </row>
    <row r="536" spans="13:17" ht="15.75" customHeight="1" x14ac:dyDescent="0.25">
      <c r="M536" s="184"/>
      <c r="N536" s="185"/>
      <c r="O536" s="186"/>
      <c r="P536" s="187"/>
      <c r="Q536" s="187"/>
    </row>
    <row r="537" spans="13:17" ht="15.75" customHeight="1" x14ac:dyDescent="0.25">
      <c r="M537" s="184"/>
      <c r="N537" s="185"/>
      <c r="O537" s="186"/>
      <c r="P537" s="187"/>
      <c r="Q537" s="187"/>
    </row>
    <row r="538" spans="13:17" ht="15.75" customHeight="1" x14ac:dyDescent="0.25">
      <c r="M538" s="184"/>
      <c r="N538" s="185"/>
      <c r="O538" s="186"/>
      <c r="P538" s="187"/>
      <c r="Q538" s="187"/>
    </row>
    <row r="539" spans="13:17" ht="15.75" customHeight="1" x14ac:dyDescent="0.25">
      <c r="M539" s="184"/>
      <c r="N539" s="185"/>
      <c r="O539" s="186"/>
      <c r="P539" s="187"/>
      <c r="Q539" s="187"/>
    </row>
    <row r="540" spans="13:17" ht="15.75" customHeight="1" x14ac:dyDescent="0.25">
      <c r="M540" s="184"/>
      <c r="N540" s="185"/>
      <c r="O540" s="186"/>
      <c r="P540" s="187"/>
      <c r="Q540" s="187"/>
    </row>
    <row r="541" spans="13:17" ht="15.75" customHeight="1" x14ac:dyDescent="0.25">
      <c r="M541" s="184"/>
      <c r="N541" s="185"/>
      <c r="O541" s="186"/>
      <c r="P541" s="187"/>
      <c r="Q541" s="187"/>
    </row>
    <row r="542" spans="13:17" ht="15.75" customHeight="1" x14ac:dyDescent="0.25">
      <c r="M542" s="184"/>
      <c r="N542" s="185"/>
      <c r="O542" s="186"/>
      <c r="P542" s="187"/>
      <c r="Q542" s="187"/>
    </row>
    <row r="543" spans="13:17" ht="15.75" customHeight="1" x14ac:dyDescent="0.25">
      <c r="M543" s="184"/>
      <c r="N543" s="185"/>
      <c r="O543" s="186"/>
      <c r="P543" s="187"/>
      <c r="Q543" s="187"/>
    </row>
    <row r="544" spans="13:17" ht="15.75" customHeight="1" x14ac:dyDescent="0.25">
      <c r="M544" s="184"/>
      <c r="N544" s="185"/>
      <c r="O544" s="186"/>
      <c r="P544" s="187"/>
      <c r="Q544" s="187"/>
    </row>
    <row r="545" spans="13:17" ht="15.75" customHeight="1" x14ac:dyDescent="0.25">
      <c r="M545" s="184"/>
      <c r="N545" s="185"/>
      <c r="O545" s="186"/>
      <c r="P545" s="187"/>
      <c r="Q545" s="187"/>
    </row>
    <row r="546" spans="13:17" ht="15.75" customHeight="1" x14ac:dyDescent="0.25">
      <c r="M546" s="184"/>
      <c r="N546" s="185"/>
      <c r="O546" s="186"/>
      <c r="P546" s="187"/>
      <c r="Q546" s="187"/>
    </row>
    <row r="547" spans="13:17" ht="15.75" customHeight="1" x14ac:dyDescent="0.25">
      <c r="M547" s="184"/>
      <c r="N547" s="185"/>
      <c r="O547" s="186"/>
      <c r="P547" s="187"/>
      <c r="Q547" s="187"/>
    </row>
    <row r="548" spans="13:17" ht="15.75" customHeight="1" x14ac:dyDescent="0.25">
      <c r="M548" s="184"/>
      <c r="N548" s="185"/>
      <c r="O548" s="186"/>
      <c r="P548" s="187"/>
      <c r="Q548" s="187"/>
    </row>
    <row r="549" spans="13:17" ht="15.75" customHeight="1" x14ac:dyDescent="0.25">
      <c r="M549" s="184"/>
      <c r="N549" s="185"/>
      <c r="O549" s="186"/>
      <c r="P549" s="187"/>
      <c r="Q549" s="187"/>
    </row>
    <row r="550" spans="13:17" ht="15.75" customHeight="1" x14ac:dyDescent="0.25">
      <c r="M550" s="184"/>
      <c r="N550" s="185"/>
      <c r="O550" s="186"/>
      <c r="P550" s="187"/>
      <c r="Q550" s="187"/>
    </row>
    <row r="551" spans="13:17" ht="15.75" customHeight="1" x14ac:dyDescent="0.25">
      <c r="M551" s="184"/>
      <c r="N551" s="185"/>
      <c r="O551" s="186"/>
      <c r="P551" s="187"/>
      <c r="Q551" s="187"/>
    </row>
    <row r="552" spans="13:17" ht="15.75" customHeight="1" x14ac:dyDescent="0.25">
      <c r="M552" s="184"/>
      <c r="N552" s="185"/>
      <c r="O552" s="186"/>
      <c r="P552" s="187"/>
      <c r="Q552" s="187"/>
    </row>
    <row r="553" spans="13:17" ht="15.75" customHeight="1" x14ac:dyDescent="0.25">
      <c r="M553" s="184"/>
      <c r="N553" s="185"/>
      <c r="O553" s="186"/>
      <c r="P553" s="187"/>
      <c r="Q553" s="187"/>
    </row>
    <row r="554" spans="13:17" ht="15.75" customHeight="1" x14ac:dyDescent="0.25">
      <c r="M554" s="184"/>
      <c r="N554" s="185"/>
      <c r="O554" s="186"/>
      <c r="P554" s="187"/>
      <c r="Q554" s="187"/>
    </row>
    <row r="555" spans="13:17" ht="15.75" customHeight="1" x14ac:dyDescent="0.25">
      <c r="M555" s="184"/>
      <c r="N555" s="185"/>
      <c r="O555" s="186"/>
      <c r="P555" s="187"/>
      <c r="Q555" s="187"/>
    </row>
    <row r="556" spans="13:17" ht="15.75" customHeight="1" x14ac:dyDescent="0.25">
      <c r="M556" s="184"/>
      <c r="N556" s="185"/>
      <c r="O556" s="186"/>
      <c r="P556" s="187"/>
      <c r="Q556" s="187"/>
    </row>
    <row r="557" spans="13:17" ht="15.75" customHeight="1" x14ac:dyDescent="0.25">
      <c r="M557" s="184"/>
      <c r="N557" s="185"/>
      <c r="O557" s="186"/>
      <c r="P557" s="187"/>
      <c r="Q557" s="187"/>
    </row>
    <row r="558" spans="13:17" ht="15.75" customHeight="1" x14ac:dyDescent="0.25">
      <c r="M558" s="184"/>
      <c r="N558" s="185"/>
      <c r="O558" s="186"/>
      <c r="P558" s="187"/>
      <c r="Q558" s="187"/>
    </row>
    <row r="559" spans="13:17" ht="15.75" customHeight="1" x14ac:dyDescent="0.25">
      <c r="M559" s="184"/>
      <c r="N559" s="185"/>
      <c r="O559" s="186"/>
      <c r="P559" s="187"/>
      <c r="Q559" s="187"/>
    </row>
    <row r="560" spans="13:17" ht="15.75" customHeight="1" x14ac:dyDescent="0.25">
      <c r="M560" s="184"/>
      <c r="N560" s="185"/>
      <c r="O560" s="186"/>
      <c r="P560" s="187"/>
      <c r="Q560" s="187"/>
    </row>
    <row r="561" spans="13:17" ht="15.75" customHeight="1" x14ac:dyDescent="0.25">
      <c r="M561" s="184"/>
      <c r="N561" s="185"/>
      <c r="O561" s="186"/>
      <c r="P561" s="187"/>
      <c r="Q561" s="187"/>
    </row>
    <row r="562" spans="13:17" ht="15.75" customHeight="1" x14ac:dyDescent="0.25">
      <c r="M562" s="184"/>
      <c r="N562" s="185"/>
      <c r="O562" s="186"/>
      <c r="P562" s="187"/>
      <c r="Q562" s="187"/>
    </row>
    <row r="563" spans="13:17" ht="15.75" customHeight="1" x14ac:dyDescent="0.25">
      <c r="M563" s="184"/>
      <c r="N563" s="185"/>
      <c r="O563" s="186"/>
      <c r="P563" s="187"/>
      <c r="Q563" s="187"/>
    </row>
    <row r="564" spans="13:17" ht="15.75" customHeight="1" x14ac:dyDescent="0.25">
      <c r="M564" s="184"/>
      <c r="N564" s="185"/>
      <c r="O564" s="186"/>
      <c r="P564" s="187"/>
      <c r="Q564" s="187"/>
    </row>
    <row r="565" spans="13:17" ht="15.75" customHeight="1" x14ac:dyDescent="0.25">
      <c r="M565" s="184"/>
      <c r="N565" s="185"/>
      <c r="O565" s="186"/>
      <c r="P565" s="187"/>
      <c r="Q565" s="187"/>
    </row>
    <row r="566" spans="13:17" ht="15.75" customHeight="1" x14ac:dyDescent="0.25">
      <c r="M566" s="184"/>
      <c r="N566" s="185"/>
      <c r="O566" s="186"/>
      <c r="P566" s="187"/>
      <c r="Q566" s="187"/>
    </row>
    <row r="567" spans="13:17" ht="15.75" customHeight="1" x14ac:dyDescent="0.25">
      <c r="M567" s="184"/>
      <c r="N567" s="185"/>
      <c r="O567" s="186"/>
      <c r="P567" s="187"/>
      <c r="Q567" s="187"/>
    </row>
    <row r="568" spans="13:17" ht="15.75" customHeight="1" x14ac:dyDescent="0.25">
      <c r="M568" s="184"/>
      <c r="N568" s="185"/>
      <c r="O568" s="186"/>
      <c r="P568" s="187"/>
      <c r="Q568" s="187"/>
    </row>
    <row r="569" spans="13:17" ht="15.75" customHeight="1" x14ac:dyDescent="0.25">
      <c r="M569" s="184"/>
      <c r="N569" s="185"/>
      <c r="O569" s="186"/>
      <c r="P569" s="187"/>
      <c r="Q569" s="187"/>
    </row>
    <row r="570" spans="13:17" ht="15.75" customHeight="1" x14ac:dyDescent="0.25">
      <c r="M570" s="184"/>
      <c r="N570" s="185"/>
      <c r="O570" s="186"/>
      <c r="P570" s="187"/>
      <c r="Q570" s="187"/>
    </row>
    <row r="571" spans="13:17" ht="15.75" customHeight="1" x14ac:dyDescent="0.25">
      <c r="M571" s="184"/>
      <c r="N571" s="185"/>
      <c r="O571" s="186"/>
      <c r="P571" s="187"/>
      <c r="Q571" s="187"/>
    </row>
    <row r="572" spans="13:17" ht="15.75" customHeight="1" x14ac:dyDescent="0.25">
      <c r="M572" s="184"/>
      <c r="N572" s="185"/>
      <c r="O572" s="186"/>
      <c r="P572" s="187"/>
      <c r="Q572" s="187"/>
    </row>
    <row r="573" spans="13:17" ht="15.75" customHeight="1" x14ac:dyDescent="0.25">
      <c r="M573" s="184"/>
      <c r="N573" s="185"/>
      <c r="O573" s="186"/>
      <c r="P573" s="187"/>
      <c r="Q573" s="187"/>
    </row>
    <row r="574" spans="13:17" ht="15.75" customHeight="1" x14ac:dyDescent="0.25">
      <c r="M574" s="184"/>
      <c r="N574" s="185"/>
      <c r="O574" s="186"/>
      <c r="P574" s="187"/>
      <c r="Q574" s="187"/>
    </row>
    <row r="575" spans="13:17" ht="15.75" customHeight="1" x14ac:dyDescent="0.25">
      <c r="M575" s="184"/>
      <c r="N575" s="185"/>
      <c r="O575" s="186"/>
      <c r="P575" s="187"/>
      <c r="Q575" s="187"/>
    </row>
    <row r="576" spans="13:17" ht="15.75" customHeight="1" x14ac:dyDescent="0.25">
      <c r="M576" s="184"/>
      <c r="N576" s="185"/>
      <c r="O576" s="186"/>
      <c r="P576" s="187"/>
      <c r="Q576" s="187"/>
    </row>
    <row r="577" spans="13:17" ht="15.75" customHeight="1" x14ac:dyDescent="0.25">
      <c r="M577" s="184"/>
      <c r="N577" s="185"/>
      <c r="O577" s="186"/>
      <c r="P577" s="187"/>
      <c r="Q577" s="187"/>
    </row>
    <row r="578" spans="13:17" ht="15.75" customHeight="1" x14ac:dyDescent="0.25">
      <c r="M578" s="184"/>
      <c r="N578" s="185"/>
      <c r="O578" s="186"/>
      <c r="P578" s="187"/>
      <c r="Q578" s="187"/>
    </row>
    <row r="579" spans="13:17" ht="15.75" customHeight="1" x14ac:dyDescent="0.25">
      <c r="M579" s="184"/>
      <c r="N579" s="185"/>
      <c r="O579" s="186"/>
      <c r="P579" s="187"/>
      <c r="Q579" s="187"/>
    </row>
    <row r="580" spans="13:17" ht="15.75" customHeight="1" x14ac:dyDescent="0.25">
      <c r="M580" s="184"/>
      <c r="N580" s="185"/>
      <c r="O580" s="186"/>
      <c r="P580" s="187"/>
      <c r="Q580" s="187"/>
    </row>
    <row r="581" spans="13:17" ht="15.75" customHeight="1" x14ac:dyDescent="0.25">
      <c r="M581" s="184"/>
      <c r="N581" s="185"/>
      <c r="O581" s="186"/>
      <c r="P581" s="187"/>
      <c r="Q581" s="187"/>
    </row>
    <row r="582" spans="13:17" ht="15.75" customHeight="1" x14ac:dyDescent="0.25">
      <c r="M582" s="184"/>
      <c r="N582" s="185"/>
      <c r="O582" s="186"/>
      <c r="P582" s="187"/>
      <c r="Q582" s="187"/>
    </row>
    <row r="583" spans="13:17" ht="15.75" customHeight="1" x14ac:dyDescent="0.25">
      <c r="M583" s="184"/>
      <c r="N583" s="185"/>
      <c r="O583" s="186"/>
      <c r="P583" s="187"/>
      <c r="Q583" s="187"/>
    </row>
    <row r="584" spans="13:17" ht="15.75" customHeight="1" x14ac:dyDescent="0.25">
      <c r="M584" s="184"/>
      <c r="N584" s="185"/>
      <c r="O584" s="186"/>
      <c r="P584" s="187"/>
      <c r="Q584" s="187"/>
    </row>
    <row r="585" spans="13:17" ht="15.75" customHeight="1" x14ac:dyDescent="0.25">
      <c r="M585" s="184"/>
      <c r="N585" s="185"/>
      <c r="O585" s="186"/>
      <c r="P585" s="187"/>
      <c r="Q585" s="187"/>
    </row>
    <row r="586" spans="13:17" ht="15.75" customHeight="1" x14ac:dyDescent="0.25">
      <c r="M586" s="184"/>
      <c r="N586" s="185"/>
      <c r="O586" s="186"/>
      <c r="P586" s="187"/>
      <c r="Q586" s="187"/>
    </row>
    <row r="587" spans="13:17" ht="15.75" customHeight="1" x14ac:dyDescent="0.25">
      <c r="M587" s="184"/>
      <c r="N587" s="185"/>
      <c r="O587" s="186"/>
      <c r="P587" s="187"/>
      <c r="Q587" s="187"/>
    </row>
    <row r="588" spans="13:17" ht="15.75" customHeight="1" x14ac:dyDescent="0.25">
      <c r="M588" s="184"/>
      <c r="N588" s="185"/>
      <c r="O588" s="186"/>
      <c r="P588" s="187"/>
      <c r="Q588" s="187"/>
    </row>
    <row r="589" spans="13:17" ht="15.75" customHeight="1" x14ac:dyDescent="0.25">
      <c r="M589" s="184"/>
      <c r="N589" s="185"/>
      <c r="O589" s="186"/>
      <c r="P589" s="187"/>
      <c r="Q589" s="187"/>
    </row>
    <row r="590" spans="13:17" ht="15.75" customHeight="1" x14ac:dyDescent="0.25">
      <c r="M590" s="184"/>
      <c r="N590" s="185"/>
      <c r="O590" s="186"/>
      <c r="P590" s="187"/>
      <c r="Q590" s="187"/>
    </row>
    <row r="591" spans="13:17" ht="15.75" customHeight="1" x14ac:dyDescent="0.25">
      <c r="M591" s="184"/>
      <c r="N591" s="185"/>
      <c r="O591" s="186"/>
      <c r="P591" s="187"/>
      <c r="Q591" s="187"/>
    </row>
    <row r="592" spans="13:17" ht="15.75" customHeight="1" x14ac:dyDescent="0.25">
      <c r="M592" s="184"/>
      <c r="N592" s="185"/>
      <c r="O592" s="186"/>
      <c r="P592" s="187"/>
      <c r="Q592" s="187"/>
    </row>
    <row r="593" spans="13:17" ht="15.75" customHeight="1" x14ac:dyDescent="0.25">
      <c r="M593" s="184"/>
      <c r="N593" s="185"/>
      <c r="O593" s="186"/>
      <c r="P593" s="187"/>
      <c r="Q593" s="187"/>
    </row>
    <row r="594" spans="13:17" ht="15.75" customHeight="1" x14ac:dyDescent="0.25">
      <c r="M594" s="184"/>
      <c r="N594" s="185"/>
      <c r="O594" s="186"/>
      <c r="P594" s="187"/>
      <c r="Q594" s="187"/>
    </row>
    <row r="595" spans="13:17" ht="15.75" customHeight="1" x14ac:dyDescent="0.25">
      <c r="M595" s="184"/>
      <c r="N595" s="185"/>
      <c r="O595" s="186"/>
      <c r="P595" s="187"/>
      <c r="Q595" s="187"/>
    </row>
    <row r="596" spans="13:17" ht="15.75" customHeight="1" x14ac:dyDescent="0.25">
      <c r="M596" s="184"/>
      <c r="N596" s="185"/>
      <c r="O596" s="186"/>
      <c r="P596" s="187"/>
      <c r="Q596" s="187"/>
    </row>
    <row r="597" spans="13:17" ht="15.75" customHeight="1" x14ac:dyDescent="0.25">
      <c r="M597" s="184"/>
      <c r="N597" s="185"/>
      <c r="O597" s="186"/>
      <c r="P597" s="187"/>
      <c r="Q597" s="187"/>
    </row>
    <row r="598" spans="13:17" ht="15.75" customHeight="1" x14ac:dyDescent="0.25">
      <c r="M598" s="184"/>
      <c r="N598" s="185"/>
      <c r="O598" s="186"/>
      <c r="P598" s="187"/>
      <c r="Q598" s="187"/>
    </row>
    <row r="599" spans="13:17" ht="15.75" customHeight="1" x14ac:dyDescent="0.25">
      <c r="M599" s="184"/>
      <c r="N599" s="185"/>
      <c r="O599" s="186"/>
      <c r="P599" s="187"/>
      <c r="Q599" s="187"/>
    </row>
    <row r="600" spans="13:17" ht="15.75" customHeight="1" x14ac:dyDescent="0.25">
      <c r="M600" s="184"/>
      <c r="N600" s="185"/>
      <c r="O600" s="186"/>
      <c r="P600" s="187"/>
      <c r="Q600" s="187"/>
    </row>
    <row r="601" spans="13:17" ht="15.75" customHeight="1" x14ac:dyDescent="0.25">
      <c r="M601" s="184"/>
      <c r="N601" s="185"/>
      <c r="O601" s="186"/>
      <c r="P601" s="187"/>
      <c r="Q601" s="187"/>
    </row>
    <row r="602" spans="13:17" ht="15.75" customHeight="1" x14ac:dyDescent="0.25">
      <c r="M602" s="184"/>
      <c r="N602" s="185"/>
      <c r="O602" s="186"/>
      <c r="P602" s="187"/>
      <c r="Q602" s="187"/>
    </row>
    <row r="603" spans="13:17" ht="15.75" customHeight="1" x14ac:dyDescent="0.25">
      <c r="M603" s="184"/>
      <c r="N603" s="185"/>
      <c r="O603" s="186"/>
      <c r="P603" s="187"/>
      <c r="Q603" s="187"/>
    </row>
    <row r="604" spans="13:17" ht="15.75" customHeight="1" x14ac:dyDescent="0.25">
      <c r="M604" s="184"/>
      <c r="N604" s="185"/>
      <c r="O604" s="186"/>
      <c r="P604" s="187"/>
      <c r="Q604" s="187"/>
    </row>
    <row r="605" spans="13:17" ht="15.75" customHeight="1" x14ac:dyDescent="0.25">
      <c r="M605" s="184"/>
      <c r="N605" s="185"/>
      <c r="O605" s="186"/>
      <c r="P605" s="187"/>
      <c r="Q605" s="187"/>
    </row>
    <row r="606" spans="13:17" ht="15.75" customHeight="1" x14ac:dyDescent="0.25">
      <c r="M606" s="184"/>
      <c r="N606" s="185"/>
      <c r="O606" s="186"/>
      <c r="P606" s="187"/>
      <c r="Q606" s="187"/>
    </row>
    <row r="607" spans="13:17" ht="15.75" customHeight="1" x14ac:dyDescent="0.25">
      <c r="M607" s="184"/>
      <c r="N607" s="185"/>
      <c r="O607" s="186"/>
      <c r="P607" s="187"/>
      <c r="Q607" s="187"/>
    </row>
    <row r="608" spans="13:17" ht="15.75" customHeight="1" x14ac:dyDescent="0.25">
      <c r="M608" s="184"/>
      <c r="N608" s="185"/>
      <c r="O608" s="186"/>
      <c r="P608" s="187"/>
      <c r="Q608" s="187"/>
    </row>
    <row r="609" spans="13:17" ht="15.75" customHeight="1" x14ac:dyDescent="0.25">
      <c r="M609" s="184"/>
      <c r="N609" s="185"/>
      <c r="O609" s="186"/>
      <c r="P609" s="187"/>
      <c r="Q609" s="187"/>
    </row>
    <row r="610" spans="13:17" ht="15.75" customHeight="1" x14ac:dyDescent="0.25">
      <c r="M610" s="184"/>
      <c r="N610" s="185"/>
      <c r="O610" s="186"/>
      <c r="P610" s="187"/>
      <c r="Q610" s="187"/>
    </row>
    <row r="611" spans="13:17" ht="15.75" customHeight="1" x14ac:dyDescent="0.25">
      <c r="M611" s="184"/>
      <c r="N611" s="185"/>
      <c r="O611" s="186"/>
      <c r="P611" s="187"/>
      <c r="Q611" s="187"/>
    </row>
    <row r="612" spans="13:17" ht="15.75" customHeight="1" x14ac:dyDescent="0.25">
      <c r="M612" s="184"/>
      <c r="N612" s="185"/>
      <c r="O612" s="186"/>
      <c r="P612" s="187"/>
      <c r="Q612" s="187"/>
    </row>
    <row r="613" spans="13:17" ht="15.75" customHeight="1" x14ac:dyDescent="0.25">
      <c r="M613" s="184"/>
      <c r="N613" s="185"/>
      <c r="O613" s="186"/>
      <c r="P613" s="187"/>
      <c r="Q613" s="187"/>
    </row>
    <row r="614" spans="13:17" ht="15.75" customHeight="1" x14ac:dyDescent="0.25">
      <c r="M614" s="184"/>
      <c r="N614" s="185"/>
      <c r="O614" s="186"/>
      <c r="P614" s="187"/>
      <c r="Q614" s="187"/>
    </row>
    <row r="615" spans="13:17" ht="15.75" customHeight="1" x14ac:dyDescent="0.25">
      <c r="M615" s="184"/>
      <c r="N615" s="185"/>
      <c r="O615" s="186"/>
      <c r="P615" s="187"/>
      <c r="Q615" s="187"/>
    </row>
    <row r="616" spans="13:17" ht="15.75" customHeight="1" x14ac:dyDescent="0.25">
      <c r="M616" s="184"/>
      <c r="N616" s="185"/>
      <c r="O616" s="186"/>
      <c r="P616" s="187"/>
      <c r="Q616" s="187"/>
    </row>
    <row r="617" spans="13:17" ht="15.75" customHeight="1" x14ac:dyDescent="0.25">
      <c r="M617" s="184"/>
      <c r="N617" s="185"/>
      <c r="O617" s="186"/>
      <c r="P617" s="187"/>
      <c r="Q617" s="187"/>
    </row>
    <row r="618" spans="13:17" ht="15.75" customHeight="1" x14ac:dyDescent="0.25">
      <c r="M618" s="184"/>
      <c r="N618" s="185"/>
      <c r="O618" s="186"/>
      <c r="P618" s="187"/>
      <c r="Q618" s="187"/>
    </row>
    <row r="619" spans="13:17" ht="15.75" customHeight="1" x14ac:dyDescent="0.25">
      <c r="M619" s="184"/>
      <c r="N619" s="185"/>
      <c r="O619" s="186"/>
      <c r="P619" s="187"/>
      <c r="Q619" s="187"/>
    </row>
    <row r="620" spans="13:17" ht="15.75" customHeight="1" x14ac:dyDescent="0.25">
      <c r="M620" s="184"/>
      <c r="N620" s="185"/>
      <c r="O620" s="186"/>
      <c r="P620" s="187"/>
      <c r="Q620" s="187"/>
    </row>
    <row r="621" spans="13:17" ht="15.75" customHeight="1" x14ac:dyDescent="0.25">
      <c r="M621" s="184"/>
      <c r="N621" s="185"/>
      <c r="O621" s="186"/>
      <c r="P621" s="187"/>
      <c r="Q621" s="187"/>
    </row>
    <row r="622" spans="13:17" ht="15.75" customHeight="1" x14ac:dyDescent="0.25">
      <c r="M622" s="184"/>
      <c r="N622" s="185"/>
      <c r="O622" s="186"/>
      <c r="P622" s="187"/>
      <c r="Q622" s="187"/>
    </row>
    <row r="623" spans="13:17" ht="15.75" customHeight="1" x14ac:dyDescent="0.25">
      <c r="M623" s="184"/>
      <c r="N623" s="185"/>
      <c r="O623" s="186"/>
      <c r="P623" s="187"/>
      <c r="Q623" s="187"/>
    </row>
    <row r="624" spans="13:17" ht="15.75" customHeight="1" x14ac:dyDescent="0.25">
      <c r="M624" s="184"/>
      <c r="N624" s="185"/>
      <c r="O624" s="186"/>
      <c r="P624" s="187"/>
      <c r="Q624" s="187"/>
    </row>
    <row r="625" spans="13:17" ht="15.75" customHeight="1" x14ac:dyDescent="0.25">
      <c r="M625" s="184"/>
      <c r="N625" s="185"/>
      <c r="O625" s="186"/>
      <c r="P625" s="187"/>
      <c r="Q625" s="187"/>
    </row>
    <row r="626" spans="13:17" ht="15.75" customHeight="1" x14ac:dyDescent="0.25">
      <c r="M626" s="184"/>
      <c r="N626" s="185"/>
      <c r="O626" s="186"/>
      <c r="P626" s="187"/>
      <c r="Q626" s="187"/>
    </row>
    <row r="627" spans="13:17" ht="15.75" customHeight="1" x14ac:dyDescent="0.25">
      <c r="M627" s="184"/>
      <c r="N627" s="185"/>
      <c r="O627" s="186"/>
      <c r="P627" s="187"/>
      <c r="Q627" s="187"/>
    </row>
    <row r="628" spans="13:17" ht="15.75" customHeight="1" x14ac:dyDescent="0.25">
      <c r="M628" s="184"/>
      <c r="N628" s="185"/>
      <c r="O628" s="186"/>
      <c r="P628" s="187"/>
      <c r="Q628" s="187"/>
    </row>
    <row r="629" spans="13:17" ht="15.75" customHeight="1" x14ac:dyDescent="0.25">
      <c r="M629" s="184"/>
      <c r="N629" s="185"/>
      <c r="O629" s="186"/>
      <c r="P629" s="187"/>
      <c r="Q629" s="187"/>
    </row>
    <row r="630" spans="13:17" ht="15.75" customHeight="1" x14ac:dyDescent="0.25">
      <c r="M630" s="184"/>
      <c r="N630" s="185"/>
      <c r="O630" s="186"/>
      <c r="P630" s="187"/>
      <c r="Q630" s="187"/>
    </row>
    <row r="631" spans="13:17" ht="15.75" customHeight="1" x14ac:dyDescent="0.25">
      <c r="M631" s="184"/>
      <c r="N631" s="185"/>
      <c r="O631" s="186"/>
      <c r="P631" s="187"/>
      <c r="Q631" s="187"/>
    </row>
    <row r="632" spans="13:17" ht="15.75" customHeight="1" x14ac:dyDescent="0.25">
      <c r="M632" s="184"/>
      <c r="N632" s="185"/>
      <c r="O632" s="186"/>
      <c r="P632" s="187"/>
      <c r="Q632" s="187"/>
    </row>
    <row r="633" spans="13:17" ht="15.75" customHeight="1" x14ac:dyDescent="0.25">
      <c r="M633" s="184"/>
      <c r="N633" s="185"/>
      <c r="O633" s="186"/>
      <c r="P633" s="187"/>
      <c r="Q633" s="187"/>
    </row>
    <row r="634" spans="13:17" ht="15.75" customHeight="1" x14ac:dyDescent="0.25">
      <c r="M634" s="184"/>
      <c r="N634" s="185"/>
      <c r="O634" s="186"/>
      <c r="P634" s="187"/>
      <c r="Q634" s="187"/>
    </row>
    <row r="635" spans="13:17" ht="15.75" customHeight="1" x14ac:dyDescent="0.25">
      <c r="M635" s="184"/>
      <c r="N635" s="185"/>
      <c r="O635" s="186"/>
      <c r="P635" s="187"/>
      <c r="Q635" s="187"/>
    </row>
    <row r="636" spans="13:17" ht="15.75" customHeight="1" x14ac:dyDescent="0.25">
      <c r="M636" s="184"/>
      <c r="N636" s="185"/>
      <c r="O636" s="186"/>
      <c r="P636" s="187"/>
      <c r="Q636" s="187"/>
    </row>
    <row r="637" spans="13:17" ht="15.75" customHeight="1" x14ac:dyDescent="0.25">
      <c r="M637" s="184"/>
      <c r="N637" s="185"/>
      <c r="O637" s="186"/>
      <c r="P637" s="187"/>
      <c r="Q637" s="187"/>
    </row>
    <row r="638" spans="13:17" ht="15.75" customHeight="1" x14ac:dyDescent="0.25">
      <c r="M638" s="184"/>
      <c r="N638" s="185"/>
      <c r="O638" s="186"/>
      <c r="P638" s="187"/>
      <c r="Q638" s="187"/>
    </row>
    <row r="639" spans="13:17" ht="15.75" customHeight="1" x14ac:dyDescent="0.25">
      <c r="M639" s="184"/>
      <c r="N639" s="185"/>
      <c r="O639" s="186"/>
      <c r="P639" s="187"/>
      <c r="Q639" s="187"/>
    </row>
    <row r="640" spans="13:17" ht="15.75" customHeight="1" x14ac:dyDescent="0.25">
      <c r="M640" s="184"/>
      <c r="N640" s="185"/>
      <c r="O640" s="186"/>
      <c r="P640" s="187"/>
      <c r="Q640" s="187"/>
    </row>
    <row r="641" spans="13:17" ht="15.75" customHeight="1" x14ac:dyDescent="0.25">
      <c r="M641" s="184"/>
      <c r="N641" s="185"/>
      <c r="O641" s="186"/>
      <c r="P641" s="187"/>
      <c r="Q641" s="187"/>
    </row>
    <row r="642" spans="13:17" ht="15.75" customHeight="1" x14ac:dyDescent="0.25">
      <c r="M642" s="184"/>
      <c r="N642" s="185"/>
      <c r="O642" s="186"/>
      <c r="P642" s="187"/>
      <c r="Q642" s="187"/>
    </row>
    <row r="643" spans="13:17" ht="15.75" customHeight="1" x14ac:dyDescent="0.25">
      <c r="M643" s="184"/>
      <c r="N643" s="185"/>
      <c r="O643" s="186"/>
      <c r="P643" s="187"/>
      <c r="Q643" s="187"/>
    </row>
    <row r="644" spans="13:17" ht="15.75" customHeight="1" x14ac:dyDescent="0.25">
      <c r="M644" s="184"/>
      <c r="N644" s="185"/>
      <c r="O644" s="186"/>
      <c r="P644" s="187"/>
      <c r="Q644" s="187"/>
    </row>
    <row r="645" spans="13:17" ht="15.75" customHeight="1" x14ac:dyDescent="0.25">
      <c r="M645" s="184"/>
      <c r="N645" s="185"/>
      <c r="O645" s="186"/>
      <c r="P645" s="187"/>
      <c r="Q645" s="187"/>
    </row>
    <row r="646" spans="13:17" ht="15.75" customHeight="1" x14ac:dyDescent="0.25">
      <c r="M646" s="184"/>
      <c r="N646" s="185"/>
      <c r="O646" s="186"/>
      <c r="P646" s="187"/>
      <c r="Q646" s="187"/>
    </row>
    <row r="647" spans="13:17" ht="15.75" customHeight="1" x14ac:dyDescent="0.25">
      <c r="M647" s="184"/>
      <c r="N647" s="185"/>
      <c r="O647" s="186"/>
      <c r="P647" s="187"/>
      <c r="Q647" s="187"/>
    </row>
    <row r="648" spans="13:17" ht="15.75" customHeight="1" x14ac:dyDescent="0.25">
      <c r="M648" s="184"/>
      <c r="N648" s="185"/>
      <c r="O648" s="186"/>
      <c r="P648" s="187"/>
      <c r="Q648" s="187"/>
    </row>
    <row r="649" spans="13:17" ht="15.75" customHeight="1" x14ac:dyDescent="0.25">
      <c r="M649" s="184"/>
      <c r="N649" s="185"/>
      <c r="O649" s="186"/>
      <c r="P649" s="187"/>
      <c r="Q649" s="187"/>
    </row>
    <row r="650" spans="13:17" ht="15.75" customHeight="1" x14ac:dyDescent="0.25">
      <c r="M650" s="184"/>
      <c r="N650" s="185"/>
      <c r="O650" s="186"/>
      <c r="P650" s="187"/>
      <c r="Q650" s="187"/>
    </row>
    <row r="651" spans="13:17" ht="15.75" customHeight="1" x14ac:dyDescent="0.25">
      <c r="M651" s="184"/>
      <c r="N651" s="185"/>
      <c r="O651" s="186"/>
      <c r="P651" s="187"/>
      <c r="Q651" s="187"/>
    </row>
    <row r="652" spans="13:17" ht="15.75" customHeight="1" x14ac:dyDescent="0.25">
      <c r="M652" s="184"/>
      <c r="N652" s="185"/>
      <c r="O652" s="186"/>
      <c r="P652" s="187"/>
      <c r="Q652" s="187"/>
    </row>
    <row r="653" spans="13:17" ht="15.75" customHeight="1" x14ac:dyDescent="0.25">
      <c r="M653" s="184"/>
      <c r="N653" s="185"/>
      <c r="O653" s="186"/>
      <c r="P653" s="187"/>
      <c r="Q653" s="187"/>
    </row>
    <row r="654" spans="13:17" ht="15.75" customHeight="1" x14ac:dyDescent="0.25">
      <c r="M654" s="184"/>
      <c r="N654" s="185"/>
      <c r="O654" s="186"/>
      <c r="P654" s="187"/>
      <c r="Q654" s="187"/>
    </row>
    <row r="655" spans="13:17" ht="15.75" customHeight="1" x14ac:dyDescent="0.25">
      <c r="M655" s="184"/>
      <c r="N655" s="185"/>
      <c r="O655" s="186"/>
      <c r="P655" s="187"/>
      <c r="Q655" s="187"/>
    </row>
    <row r="656" spans="13:17" ht="15.75" customHeight="1" x14ac:dyDescent="0.25">
      <c r="M656" s="184"/>
      <c r="N656" s="185"/>
      <c r="O656" s="186"/>
      <c r="P656" s="187"/>
      <c r="Q656" s="187"/>
    </row>
    <row r="657" spans="13:17" ht="15.75" customHeight="1" x14ac:dyDescent="0.25">
      <c r="M657" s="184"/>
      <c r="N657" s="185"/>
      <c r="O657" s="186"/>
      <c r="P657" s="187"/>
      <c r="Q657" s="187"/>
    </row>
    <row r="658" spans="13:17" ht="15.75" customHeight="1" x14ac:dyDescent="0.25">
      <c r="M658" s="184"/>
      <c r="N658" s="185"/>
      <c r="O658" s="186"/>
      <c r="P658" s="187"/>
      <c r="Q658" s="187"/>
    </row>
    <row r="659" spans="13:17" ht="15.75" customHeight="1" x14ac:dyDescent="0.25">
      <c r="M659" s="184"/>
      <c r="N659" s="185"/>
      <c r="O659" s="186"/>
      <c r="P659" s="187"/>
      <c r="Q659" s="187"/>
    </row>
    <row r="660" spans="13:17" ht="15.75" customHeight="1" x14ac:dyDescent="0.25">
      <c r="M660" s="184"/>
      <c r="N660" s="185"/>
      <c r="O660" s="186"/>
      <c r="P660" s="187"/>
      <c r="Q660" s="187"/>
    </row>
    <row r="661" spans="13:17" ht="15.75" customHeight="1" x14ac:dyDescent="0.25">
      <c r="M661" s="184"/>
      <c r="N661" s="185"/>
      <c r="O661" s="186"/>
      <c r="P661" s="187"/>
      <c r="Q661" s="187"/>
    </row>
    <row r="662" spans="13:17" ht="15.75" customHeight="1" x14ac:dyDescent="0.25">
      <c r="M662" s="184"/>
      <c r="N662" s="185"/>
      <c r="O662" s="186"/>
      <c r="P662" s="187"/>
      <c r="Q662" s="187"/>
    </row>
    <row r="663" spans="13:17" ht="15.75" customHeight="1" x14ac:dyDescent="0.25">
      <c r="M663" s="184"/>
      <c r="N663" s="185"/>
      <c r="O663" s="186"/>
      <c r="P663" s="187"/>
      <c r="Q663" s="187"/>
    </row>
    <row r="664" spans="13:17" ht="15.75" customHeight="1" x14ac:dyDescent="0.25">
      <c r="M664" s="184"/>
      <c r="N664" s="185"/>
      <c r="O664" s="186"/>
      <c r="P664" s="187"/>
      <c r="Q664" s="187"/>
    </row>
    <row r="665" spans="13:17" ht="15.75" customHeight="1" x14ac:dyDescent="0.25">
      <c r="M665" s="184"/>
      <c r="N665" s="185"/>
      <c r="O665" s="186"/>
      <c r="P665" s="187"/>
      <c r="Q665" s="187"/>
    </row>
    <row r="666" spans="13:17" ht="15.75" customHeight="1" x14ac:dyDescent="0.25">
      <c r="M666" s="184"/>
      <c r="N666" s="185"/>
      <c r="O666" s="186"/>
      <c r="P666" s="187"/>
      <c r="Q666" s="187"/>
    </row>
    <row r="667" spans="13:17" ht="15.75" customHeight="1" x14ac:dyDescent="0.25">
      <c r="M667" s="184"/>
      <c r="N667" s="185"/>
      <c r="O667" s="186"/>
      <c r="P667" s="187"/>
      <c r="Q667" s="187"/>
    </row>
    <row r="668" spans="13:17" ht="15.75" customHeight="1" x14ac:dyDescent="0.25">
      <c r="M668" s="184"/>
      <c r="N668" s="185"/>
      <c r="O668" s="186"/>
      <c r="P668" s="187"/>
      <c r="Q668" s="187"/>
    </row>
    <row r="669" spans="13:17" ht="15.75" customHeight="1" x14ac:dyDescent="0.25">
      <c r="M669" s="184"/>
      <c r="N669" s="185"/>
      <c r="O669" s="186"/>
      <c r="P669" s="187"/>
      <c r="Q669" s="187"/>
    </row>
    <row r="670" spans="13:17" ht="15.75" customHeight="1" x14ac:dyDescent="0.25">
      <c r="M670" s="184"/>
      <c r="N670" s="185"/>
      <c r="O670" s="186"/>
      <c r="P670" s="187"/>
      <c r="Q670" s="187"/>
    </row>
    <row r="671" spans="13:17" ht="15.75" customHeight="1" x14ac:dyDescent="0.25">
      <c r="M671" s="184"/>
      <c r="N671" s="185"/>
      <c r="O671" s="186"/>
      <c r="P671" s="187"/>
      <c r="Q671" s="187"/>
    </row>
    <row r="672" spans="13:17" ht="15.75" customHeight="1" x14ac:dyDescent="0.25">
      <c r="M672" s="184"/>
      <c r="N672" s="185"/>
      <c r="O672" s="186"/>
      <c r="P672" s="187"/>
      <c r="Q672" s="187"/>
    </row>
    <row r="673" spans="13:17" ht="15.75" customHeight="1" x14ac:dyDescent="0.25">
      <c r="M673" s="184"/>
      <c r="N673" s="185"/>
      <c r="O673" s="186"/>
      <c r="P673" s="187"/>
      <c r="Q673" s="187"/>
    </row>
    <row r="674" spans="13:17" ht="15.75" customHeight="1" x14ac:dyDescent="0.25">
      <c r="M674" s="184"/>
      <c r="N674" s="185"/>
      <c r="O674" s="186"/>
      <c r="P674" s="187"/>
      <c r="Q674" s="187"/>
    </row>
    <row r="675" spans="13:17" ht="15.75" customHeight="1" x14ac:dyDescent="0.25">
      <c r="M675" s="184"/>
      <c r="N675" s="185"/>
      <c r="O675" s="186"/>
      <c r="P675" s="187"/>
      <c r="Q675" s="187"/>
    </row>
    <row r="676" spans="13:17" ht="15.75" customHeight="1" x14ac:dyDescent="0.25">
      <c r="M676" s="184"/>
      <c r="N676" s="185"/>
      <c r="O676" s="186"/>
      <c r="P676" s="187"/>
      <c r="Q676" s="187"/>
    </row>
    <row r="677" spans="13:17" ht="15.75" customHeight="1" x14ac:dyDescent="0.25">
      <c r="M677" s="184"/>
      <c r="N677" s="185"/>
      <c r="O677" s="186"/>
      <c r="P677" s="187"/>
      <c r="Q677" s="187"/>
    </row>
    <row r="678" spans="13:17" ht="15.75" customHeight="1" x14ac:dyDescent="0.25">
      <c r="M678" s="184"/>
      <c r="N678" s="185"/>
      <c r="O678" s="186"/>
      <c r="P678" s="187"/>
      <c r="Q678" s="187"/>
    </row>
    <row r="679" spans="13:17" ht="15.75" customHeight="1" x14ac:dyDescent="0.25">
      <c r="M679" s="184"/>
      <c r="N679" s="185"/>
      <c r="O679" s="186"/>
      <c r="P679" s="187"/>
      <c r="Q679" s="187"/>
    </row>
    <row r="680" spans="13:17" ht="15.75" customHeight="1" x14ac:dyDescent="0.25">
      <c r="M680" s="184"/>
      <c r="N680" s="185"/>
      <c r="O680" s="186"/>
      <c r="P680" s="187"/>
      <c r="Q680" s="187"/>
    </row>
    <row r="681" spans="13:17" ht="15.75" customHeight="1" x14ac:dyDescent="0.25">
      <c r="M681" s="184"/>
      <c r="N681" s="185"/>
      <c r="O681" s="186"/>
      <c r="P681" s="187"/>
      <c r="Q681" s="187"/>
    </row>
    <row r="682" spans="13:17" ht="15.75" customHeight="1" x14ac:dyDescent="0.25">
      <c r="M682" s="184"/>
      <c r="N682" s="185"/>
      <c r="O682" s="186"/>
      <c r="P682" s="187"/>
      <c r="Q682" s="187"/>
    </row>
    <row r="683" spans="13:17" ht="15.75" customHeight="1" x14ac:dyDescent="0.25">
      <c r="M683" s="184"/>
      <c r="N683" s="185"/>
      <c r="O683" s="186"/>
      <c r="P683" s="187"/>
      <c r="Q683" s="187"/>
    </row>
    <row r="684" spans="13:17" ht="15.75" customHeight="1" x14ac:dyDescent="0.25">
      <c r="M684" s="184"/>
      <c r="N684" s="185"/>
      <c r="O684" s="186"/>
      <c r="P684" s="187"/>
      <c r="Q684" s="187"/>
    </row>
    <row r="685" spans="13:17" ht="15.75" customHeight="1" x14ac:dyDescent="0.25">
      <c r="M685" s="184"/>
      <c r="N685" s="185"/>
      <c r="O685" s="186"/>
      <c r="P685" s="187"/>
      <c r="Q685" s="187"/>
    </row>
    <row r="686" spans="13:17" ht="15.75" customHeight="1" x14ac:dyDescent="0.25">
      <c r="M686" s="184"/>
      <c r="N686" s="185"/>
      <c r="O686" s="186"/>
      <c r="P686" s="187"/>
      <c r="Q686" s="187"/>
    </row>
    <row r="687" spans="13:17" ht="15.75" customHeight="1" x14ac:dyDescent="0.25">
      <c r="M687" s="184"/>
      <c r="N687" s="185"/>
      <c r="O687" s="186"/>
      <c r="P687" s="187"/>
      <c r="Q687" s="187"/>
    </row>
    <row r="688" spans="13:17" ht="15.75" customHeight="1" x14ac:dyDescent="0.25">
      <c r="M688" s="184"/>
      <c r="N688" s="185"/>
      <c r="O688" s="186"/>
      <c r="P688" s="187"/>
      <c r="Q688" s="187"/>
    </row>
    <row r="689" spans="13:17" ht="15.75" customHeight="1" x14ac:dyDescent="0.25">
      <c r="M689" s="184"/>
      <c r="N689" s="185"/>
      <c r="O689" s="186"/>
      <c r="P689" s="187"/>
      <c r="Q689" s="187"/>
    </row>
    <row r="690" spans="13:17" ht="15.75" customHeight="1" x14ac:dyDescent="0.25">
      <c r="M690" s="184"/>
      <c r="N690" s="185"/>
      <c r="O690" s="186"/>
      <c r="P690" s="187"/>
      <c r="Q690" s="187"/>
    </row>
    <row r="691" spans="13:17" ht="15.75" customHeight="1" x14ac:dyDescent="0.25">
      <c r="M691" s="184"/>
      <c r="N691" s="185"/>
      <c r="O691" s="186"/>
      <c r="P691" s="187"/>
      <c r="Q691" s="187"/>
    </row>
    <row r="692" spans="13:17" ht="15.75" customHeight="1" x14ac:dyDescent="0.25">
      <c r="M692" s="184"/>
      <c r="N692" s="185"/>
      <c r="O692" s="186"/>
      <c r="P692" s="187"/>
      <c r="Q692" s="187"/>
    </row>
    <row r="693" spans="13:17" ht="15.75" customHeight="1" x14ac:dyDescent="0.25">
      <c r="M693" s="184"/>
      <c r="N693" s="185"/>
      <c r="O693" s="186"/>
      <c r="P693" s="187"/>
      <c r="Q693" s="187"/>
    </row>
    <row r="694" spans="13:17" ht="15.75" customHeight="1" x14ac:dyDescent="0.25">
      <c r="M694" s="184"/>
      <c r="N694" s="185"/>
      <c r="O694" s="186"/>
      <c r="P694" s="187"/>
      <c r="Q694" s="187"/>
    </row>
    <row r="695" spans="13:17" ht="15.75" customHeight="1" x14ac:dyDescent="0.25">
      <c r="M695" s="184"/>
      <c r="N695" s="185"/>
      <c r="O695" s="186"/>
      <c r="P695" s="187"/>
      <c r="Q695" s="187"/>
    </row>
    <row r="696" spans="13:17" ht="15.75" customHeight="1" x14ac:dyDescent="0.25">
      <c r="M696" s="184"/>
      <c r="N696" s="185"/>
      <c r="O696" s="186"/>
      <c r="P696" s="187"/>
      <c r="Q696" s="187"/>
    </row>
    <row r="697" spans="13:17" ht="15.75" customHeight="1" x14ac:dyDescent="0.25">
      <c r="M697" s="184"/>
      <c r="N697" s="185"/>
      <c r="O697" s="186"/>
      <c r="P697" s="187"/>
      <c r="Q697" s="187"/>
    </row>
    <row r="698" spans="13:17" ht="15.75" customHeight="1" x14ac:dyDescent="0.25">
      <c r="M698" s="184"/>
      <c r="N698" s="185"/>
      <c r="O698" s="186"/>
      <c r="P698" s="187"/>
      <c r="Q698" s="187"/>
    </row>
    <row r="699" spans="13:17" ht="15.75" customHeight="1" x14ac:dyDescent="0.25">
      <c r="M699" s="184"/>
      <c r="N699" s="185"/>
      <c r="O699" s="186"/>
      <c r="P699" s="187"/>
      <c r="Q699" s="187"/>
    </row>
    <row r="700" spans="13:17" ht="15.75" customHeight="1" x14ac:dyDescent="0.25">
      <c r="M700" s="184"/>
      <c r="N700" s="185"/>
      <c r="O700" s="186"/>
      <c r="P700" s="187"/>
      <c r="Q700" s="187"/>
    </row>
    <row r="701" spans="13:17" ht="15.75" customHeight="1" x14ac:dyDescent="0.25">
      <c r="M701" s="184"/>
      <c r="N701" s="185"/>
      <c r="O701" s="186"/>
      <c r="P701" s="187"/>
      <c r="Q701" s="187"/>
    </row>
    <row r="702" spans="13:17" ht="15.75" customHeight="1" x14ac:dyDescent="0.25">
      <c r="M702" s="184"/>
      <c r="N702" s="185"/>
      <c r="O702" s="186"/>
      <c r="P702" s="187"/>
      <c r="Q702" s="187"/>
    </row>
    <row r="703" spans="13:17" ht="15.75" customHeight="1" x14ac:dyDescent="0.25">
      <c r="M703" s="184"/>
      <c r="N703" s="185"/>
      <c r="O703" s="186"/>
      <c r="P703" s="187"/>
      <c r="Q703" s="187"/>
    </row>
    <row r="704" spans="13:17" ht="15.75" customHeight="1" x14ac:dyDescent="0.25">
      <c r="M704" s="184"/>
      <c r="N704" s="185"/>
      <c r="O704" s="186"/>
      <c r="P704" s="187"/>
      <c r="Q704" s="187"/>
    </row>
    <row r="705" spans="13:17" ht="15.75" customHeight="1" x14ac:dyDescent="0.25">
      <c r="M705" s="184"/>
      <c r="N705" s="185"/>
      <c r="O705" s="186"/>
      <c r="P705" s="187"/>
      <c r="Q705" s="187"/>
    </row>
    <row r="706" spans="13:17" ht="15.75" customHeight="1" x14ac:dyDescent="0.25">
      <c r="M706" s="184"/>
      <c r="N706" s="185"/>
      <c r="O706" s="186"/>
      <c r="P706" s="187"/>
      <c r="Q706" s="187"/>
    </row>
    <row r="707" spans="13:17" ht="15.75" customHeight="1" x14ac:dyDescent="0.25">
      <c r="M707" s="184"/>
      <c r="N707" s="185"/>
      <c r="O707" s="186"/>
      <c r="P707" s="187"/>
      <c r="Q707" s="187"/>
    </row>
    <row r="708" spans="13:17" ht="15.75" customHeight="1" x14ac:dyDescent="0.25">
      <c r="M708" s="184"/>
      <c r="N708" s="185"/>
      <c r="O708" s="186"/>
      <c r="P708" s="187"/>
      <c r="Q708" s="187"/>
    </row>
    <row r="709" spans="13:17" ht="15.75" customHeight="1" x14ac:dyDescent="0.25">
      <c r="M709" s="184"/>
      <c r="N709" s="185"/>
      <c r="O709" s="186"/>
      <c r="P709" s="187"/>
      <c r="Q709" s="187"/>
    </row>
    <row r="710" spans="13:17" ht="15.75" customHeight="1" x14ac:dyDescent="0.25">
      <c r="M710" s="184"/>
      <c r="N710" s="185"/>
      <c r="O710" s="186"/>
      <c r="P710" s="187"/>
      <c r="Q710" s="187"/>
    </row>
    <row r="711" spans="13:17" ht="15.75" customHeight="1" x14ac:dyDescent="0.25">
      <c r="M711" s="184"/>
      <c r="N711" s="185"/>
      <c r="O711" s="186"/>
      <c r="P711" s="187"/>
      <c r="Q711" s="187"/>
    </row>
    <row r="712" spans="13:17" ht="15.75" customHeight="1" x14ac:dyDescent="0.25">
      <c r="M712" s="184"/>
      <c r="N712" s="185"/>
      <c r="O712" s="186"/>
      <c r="P712" s="187"/>
      <c r="Q712" s="187"/>
    </row>
    <row r="713" spans="13:17" ht="15.75" customHeight="1" x14ac:dyDescent="0.25">
      <c r="M713" s="184"/>
      <c r="N713" s="185"/>
      <c r="O713" s="186"/>
      <c r="P713" s="187"/>
      <c r="Q713" s="187"/>
    </row>
    <row r="714" spans="13:17" ht="15.75" customHeight="1" x14ac:dyDescent="0.25">
      <c r="M714" s="184"/>
      <c r="N714" s="185"/>
      <c r="O714" s="186"/>
      <c r="P714" s="187"/>
      <c r="Q714" s="187"/>
    </row>
    <row r="715" spans="13:17" ht="15.75" customHeight="1" x14ac:dyDescent="0.25">
      <c r="M715" s="184"/>
      <c r="N715" s="185"/>
      <c r="O715" s="186"/>
      <c r="P715" s="187"/>
      <c r="Q715" s="187"/>
    </row>
    <row r="716" spans="13:17" ht="15.75" customHeight="1" x14ac:dyDescent="0.25">
      <c r="M716" s="184"/>
      <c r="N716" s="185"/>
      <c r="O716" s="186"/>
      <c r="P716" s="187"/>
      <c r="Q716" s="187"/>
    </row>
    <row r="717" spans="13:17" ht="15.75" customHeight="1" x14ac:dyDescent="0.25">
      <c r="M717" s="184"/>
      <c r="N717" s="185"/>
      <c r="O717" s="186"/>
      <c r="P717" s="187"/>
      <c r="Q717" s="187"/>
    </row>
    <row r="718" spans="13:17" ht="15.75" customHeight="1" x14ac:dyDescent="0.25">
      <c r="M718" s="184"/>
      <c r="N718" s="185"/>
      <c r="O718" s="186"/>
      <c r="P718" s="187"/>
      <c r="Q718" s="187"/>
    </row>
    <row r="719" spans="13:17" ht="15.75" customHeight="1" x14ac:dyDescent="0.25">
      <c r="M719" s="184"/>
      <c r="N719" s="185"/>
      <c r="O719" s="186"/>
      <c r="P719" s="187"/>
      <c r="Q719" s="187"/>
    </row>
    <row r="720" spans="13:17" ht="15.75" customHeight="1" x14ac:dyDescent="0.25">
      <c r="M720" s="184"/>
      <c r="N720" s="185"/>
      <c r="O720" s="186"/>
      <c r="P720" s="187"/>
      <c r="Q720" s="187"/>
    </row>
    <row r="721" spans="13:17" ht="15.75" customHeight="1" x14ac:dyDescent="0.25">
      <c r="M721" s="184"/>
      <c r="N721" s="185"/>
      <c r="O721" s="186"/>
      <c r="P721" s="187"/>
      <c r="Q721" s="187"/>
    </row>
    <row r="722" spans="13:17" ht="15.75" customHeight="1" x14ac:dyDescent="0.25">
      <c r="M722" s="184"/>
      <c r="N722" s="185"/>
      <c r="O722" s="186"/>
      <c r="P722" s="187"/>
      <c r="Q722" s="187"/>
    </row>
    <row r="723" spans="13:17" ht="15.75" customHeight="1" x14ac:dyDescent="0.25">
      <c r="M723" s="184"/>
      <c r="N723" s="185"/>
      <c r="O723" s="186"/>
      <c r="P723" s="187"/>
      <c r="Q723" s="187"/>
    </row>
    <row r="724" spans="13:17" ht="15.75" customHeight="1" x14ac:dyDescent="0.25">
      <c r="M724" s="184"/>
      <c r="N724" s="185"/>
      <c r="O724" s="186"/>
      <c r="P724" s="187"/>
      <c r="Q724" s="187"/>
    </row>
    <row r="725" spans="13:17" ht="15.75" customHeight="1" x14ac:dyDescent="0.25">
      <c r="M725" s="184"/>
      <c r="N725" s="185"/>
      <c r="O725" s="186"/>
      <c r="P725" s="187"/>
      <c r="Q725" s="187"/>
    </row>
    <row r="726" spans="13:17" ht="15.75" customHeight="1" x14ac:dyDescent="0.25">
      <c r="M726" s="184"/>
      <c r="N726" s="185"/>
      <c r="O726" s="186"/>
      <c r="P726" s="187"/>
      <c r="Q726" s="187"/>
    </row>
    <row r="727" spans="13:17" ht="15.75" customHeight="1" x14ac:dyDescent="0.25">
      <c r="M727" s="184"/>
      <c r="N727" s="185"/>
      <c r="O727" s="186"/>
      <c r="P727" s="187"/>
      <c r="Q727" s="187"/>
    </row>
    <row r="728" spans="13:17" ht="15.75" customHeight="1" x14ac:dyDescent="0.25">
      <c r="M728" s="184"/>
      <c r="N728" s="185"/>
      <c r="O728" s="186"/>
      <c r="P728" s="187"/>
      <c r="Q728" s="187"/>
    </row>
    <row r="729" spans="13:17" ht="15.75" customHeight="1" x14ac:dyDescent="0.25">
      <c r="M729" s="184"/>
      <c r="N729" s="185"/>
      <c r="O729" s="186"/>
      <c r="P729" s="187"/>
      <c r="Q729" s="187"/>
    </row>
    <row r="730" spans="13:17" ht="15.75" customHeight="1" x14ac:dyDescent="0.25">
      <c r="M730" s="184"/>
      <c r="N730" s="185"/>
      <c r="O730" s="186"/>
      <c r="P730" s="187"/>
      <c r="Q730" s="187"/>
    </row>
    <row r="731" spans="13:17" ht="15.75" customHeight="1" x14ac:dyDescent="0.25">
      <c r="M731" s="184"/>
      <c r="N731" s="185"/>
      <c r="O731" s="186"/>
      <c r="P731" s="187"/>
      <c r="Q731" s="187"/>
    </row>
    <row r="732" spans="13:17" ht="15.75" customHeight="1" x14ac:dyDescent="0.25">
      <c r="M732" s="184"/>
      <c r="N732" s="185"/>
      <c r="O732" s="186"/>
      <c r="P732" s="187"/>
      <c r="Q732" s="187"/>
    </row>
    <row r="733" spans="13:17" ht="15.75" customHeight="1" x14ac:dyDescent="0.25">
      <c r="M733" s="184"/>
      <c r="N733" s="185"/>
      <c r="O733" s="186"/>
      <c r="P733" s="187"/>
      <c r="Q733" s="187"/>
    </row>
    <row r="734" spans="13:17" ht="15.75" customHeight="1" x14ac:dyDescent="0.25">
      <c r="M734" s="184"/>
      <c r="N734" s="185"/>
      <c r="O734" s="186"/>
      <c r="P734" s="187"/>
      <c r="Q734" s="187"/>
    </row>
    <row r="735" spans="13:17" ht="15.75" customHeight="1" x14ac:dyDescent="0.25">
      <c r="M735" s="184"/>
      <c r="N735" s="185"/>
      <c r="O735" s="186"/>
      <c r="P735" s="187"/>
      <c r="Q735" s="187"/>
    </row>
    <row r="736" spans="13:17" ht="15.75" customHeight="1" x14ac:dyDescent="0.25">
      <c r="M736" s="184"/>
      <c r="N736" s="185"/>
      <c r="O736" s="186"/>
      <c r="P736" s="187"/>
      <c r="Q736" s="187"/>
    </row>
    <row r="737" spans="13:17" ht="15.75" customHeight="1" x14ac:dyDescent="0.25">
      <c r="M737" s="184"/>
      <c r="N737" s="185"/>
      <c r="O737" s="186"/>
      <c r="P737" s="187"/>
      <c r="Q737" s="187"/>
    </row>
    <row r="738" spans="13:17" ht="15.75" customHeight="1" x14ac:dyDescent="0.25">
      <c r="M738" s="184"/>
      <c r="N738" s="185"/>
      <c r="O738" s="186"/>
      <c r="P738" s="187"/>
      <c r="Q738" s="187"/>
    </row>
    <row r="739" spans="13:17" ht="15.75" customHeight="1" x14ac:dyDescent="0.25">
      <c r="M739" s="184"/>
      <c r="N739" s="185"/>
      <c r="O739" s="186"/>
      <c r="P739" s="187"/>
      <c r="Q739" s="187"/>
    </row>
    <row r="740" spans="13:17" ht="15.75" customHeight="1" x14ac:dyDescent="0.25">
      <c r="M740" s="184"/>
      <c r="N740" s="185"/>
      <c r="O740" s="186"/>
      <c r="P740" s="187"/>
      <c r="Q740" s="187"/>
    </row>
    <row r="741" spans="13:17" ht="15.75" customHeight="1" x14ac:dyDescent="0.25">
      <c r="M741" s="184"/>
      <c r="N741" s="185"/>
      <c r="O741" s="186"/>
      <c r="P741" s="187"/>
      <c r="Q741" s="187"/>
    </row>
    <row r="742" spans="13:17" ht="15.75" customHeight="1" x14ac:dyDescent="0.25">
      <c r="M742" s="184"/>
      <c r="N742" s="185"/>
      <c r="O742" s="186"/>
      <c r="P742" s="187"/>
      <c r="Q742" s="187"/>
    </row>
    <row r="743" spans="13:17" ht="15.75" customHeight="1" x14ac:dyDescent="0.25">
      <c r="M743" s="184"/>
      <c r="N743" s="185"/>
      <c r="O743" s="186"/>
      <c r="P743" s="187"/>
      <c r="Q743" s="187"/>
    </row>
    <row r="744" spans="13:17" ht="15.75" customHeight="1" x14ac:dyDescent="0.25">
      <c r="M744" s="184"/>
      <c r="N744" s="185"/>
      <c r="O744" s="186"/>
      <c r="P744" s="187"/>
      <c r="Q744" s="187"/>
    </row>
    <row r="745" spans="13:17" ht="15.75" customHeight="1" x14ac:dyDescent="0.25">
      <c r="M745" s="184"/>
      <c r="N745" s="185"/>
      <c r="O745" s="186"/>
      <c r="P745" s="187"/>
      <c r="Q745" s="187"/>
    </row>
    <row r="746" spans="13:17" ht="15.75" customHeight="1" x14ac:dyDescent="0.25">
      <c r="M746" s="184"/>
      <c r="N746" s="185"/>
      <c r="O746" s="186"/>
      <c r="P746" s="187"/>
      <c r="Q746" s="187"/>
    </row>
    <row r="747" spans="13:17" ht="15.75" customHeight="1" x14ac:dyDescent="0.25">
      <c r="M747" s="184"/>
      <c r="N747" s="185"/>
      <c r="O747" s="186"/>
      <c r="P747" s="187"/>
      <c r="Q747" s="187"/>
    </row>
    <row r="748" spans="13:17" ht="15.75" customHeight="1" x14ac:dyDescent="0.25">
      <c r="M748" s="184"/>
      <c r="N748" s="185"/>
      <c r="O748" s="186"/>
      <c r="P748" s="187"/>
      <c r="Q748" s="187"/>
    </row>
    <row r="749" spans="13:17" ht="15.75" customHeight="1" x14ac:dyDescent="0.25">
      <c r="M749" s="184"/>
      <c r="N749" s="185"/>
      <c r="O749" s="186"/>
      <c r="P749" s="187"/>
      <c r="Q749" s="187"/>
    </row>
    <row r="750" spans="13:17" ht="15.75" customHeight="1" x14ac:dyDescent="0.25">
      <c r="M750" s="184"/>
      <c r="N750" s="185"/>
      <c r="O750" s="186"/>
      <c r="P750" s="187"/>
      <c r="Q750" s="187"/>
    </row>
    <row r="751" spans="13:17" ht="15.75" customHeight="1" x14ac:dyDescent="0.25">
      <c r="M751" s="184"/>
      <c r="N751" s="185"/>
      <c r="O751" s="186"/>
      <c r="P751" s="187"/>
      <c r="Q751" s="187"/>
    </row>
    <row r="752" spans="13:17" ht="15.75" customHeight="1" x14ac:dyDescent="0.25">
      <c r="M752" s="184"/>
      <c r="N752" s="185"/>
      <c r="O752" s="186"/>
      <c r="P752" s="187"/>
      <c r="Q752" s="187"/>
    </row>
    <row r="753" spans="13:17" ht="15.75" customHeight="1" x14ac:dyDescent="0.25">
      <c r="M753" s="184"/>
      <c r="N753" s="185"/>
      <c r="O753" s="186"/>
      <c r="P753" s="187"/>
      <c r="Q753" s="187"/>
    </row>
    <row r="754" spans="13:17" ht="15.75" customHeight="1" x14ac:dyDescent="0.25">
      <c r="M754" s="184"/>
      <c r="N754" s="185"/>
      <c r="O754" s="186"/>
      <c r="P754" s="187"/>
      <c r="Q754" s="187"/>
    </row>
    <row r="755" spans="13:17" ht="15.75" customHeight="1" x14ac:dyDescent="0.25">
      <c r="M755" s="184"/>
      <c r="N755" s="185"/>
      <c r="O755" s="186"/>
      <c r="P755" s="187"/>
      <c r="Q755" s="187"/>
    </row>
    <row r="756" spans="13:17" ht="15.75" customHeight="1" x14ac:dyDescent="0.25">
      <c r="M756" s="184"/>
      <c r="N756" s="185"/>
      <c r="O756" s="186"/>
      <c r="P756" s="187"/>
      <c r="Q756" s="187"/>
    </row>
    <row r="757" spans="13:17" ht="15.75" customHeight="1" x14ac:dyDescent="0.25">
      <c r="M757" s="184"/>
      <c r="N757" s="185"/>
      <c r="O757" s="186"/>
      <c r="P757" s="187"/>
      <c r="Q757" s="187"/>
    </row>
    <row r="758" spans="13:17" ht="15.75" customHeight="1" x14ac:dyDescent="0.25">
      <c r="M758" s="184"/>
      <c r="N758" s="185"/>
      <c r="O758" s="186"/>
      <c r="P758" s="187"/>
      <c r="Q758" s="187"/>
    </row>
    <row r="759" spans="13:17" ht="15.75" customHeight="1" x14ac:dyDescent="0.25">
      <c r="M759" s="184"/>
      <c r="N759" s="185"/>
      <c r="O759" s="186"/>
      <c r="P759" s="187"/>
      <c r="Q759" s="187"/>
    </row>
    <row r="760" spans="13:17" ht="15.75" customHeight="1" x14ac:dyDescent="0.25">
      <c r="M760" s="184"/>
      <c r="N760" s="185"/>
      <c r="O760" s="186"/>
      <c r="P760" s="187"/>
      <c r="Q760" s="187"/>
    </row>
    <row r="761" spans="13:17" ht="15.75" customHeight="1" x14ac:dyDescent="0.25">
      <c r="M761" s="184"/>
      <c r="N761" s="185"/>
      <c r="O761" s="186"/>
      <c r="P761" s="187"/>
      <c r="Q761" s="187"/>
    </row>
    <row r="762" spans="13:17" ht="15.75" customHeight="1" x14ac:dyDescent="0.25">
      <c r="M762" s="184"/>
      <c r="N762" s="185"/>
      <c r="O762" s="186"/>
      <c r="P762" s="187"/>
      <c r="Q762" s="187"/>
    </row>
    <row r="763" spans="13:17" ht="15.75" customHeight="1" x14ac:dyDescent="0.25">
      <c r="M763" s="184"/>
      <c r="N763" s="185"/>
      <c r="O763" s="186"/>
      <c r="P763" s="187"/>
      <c r="Q763" s="187"/>
    </row>
    <row r="764" spans="13:17" ht="15.75" customHeight="1" x14ac:dyDescent="0.25">
      <c r="M764" s="184"/>
      <c r="N764" s="185"/>
      <c r="O764" s="186"/>
      <c r="P764" s="187"/>
      <c r="Q764" s="187"/>
    </row>
    <row r="765" spans="13:17" ht="15.75" customHeight="1" x14ac:dyDescent="0.25">
      <c r="M765" s="184"/>
      <c r="N765" s="185"/>
      <c r="O765" s="186"/>
      <c r="P765" s="187"/>
      <c r="Q765" s="187"/>
    </row>
    <row r="766" spans="13:17" ht="15.75" customHeight="1" x14ac:dyDescent="0.25">
      <c r="M766" s="184"/>
      <c r="N766" s="185"/>
      <c r="O766" s="186"/>
      <c r="P766" s="187"/>
      <c r="Q766" s="187"/>
    </row>
    <row r="767" spans="13:17" ht="15.75" customHeight="1" x14ac:dyDescent="0.25">
      <c r="M767" s="184"/>
      <c r="N767" s="185"/>
      <c r="O767" s="186"/>
      <c r="P767" s="187"/>
      <c r="Q767" s="187"/>
    </row>
    <row r="768" spans="13:17" ht="15.75" customHeight="1" x14ac:dyDescent="0.25">
      <c r="M768" s="184"/>
      <c r="N768" s="185"/>
      <c r="O768" s="186"/>
      <c r="P768" s="187"/>
      <c r="Q768" s="187"/>
    </row>
    <row r="769" spans="13:17" ht="15.75" customHeight="1" x14ac:dyDescent="0.25">
      <c r="M769" s="184"/>
      <c r="N769" s="185"/>
      <c r="O769" s="186"/>
      <c r="P769" s="187"/>
      <c r="Q769" s="187"/>
    </row>
    <row r="770" spans="13:17" ht="15.75" customHeight="1" x14ac:dyDescent="0.25">
      <c r="M770" s="184"/>
      <c r="N770" s="185"/>
      <c r="O770" s="186"/>
      <c r="P770" s="187"/>
      <c r="Q770" s="187"/>
    </row>
    <row r="771" spans="13:17" ht="15.75" customHeight="1" x14ac:dyDescent="0.25">
      <c r="M771" s="184"/>
      <c r="N771" s="185"/>
      <c r="O771" s="186"/>
      <c r="P771" s="187"/>
      <c r="Q771" s="187"/>
    </row>
    <row r="772" spans="13:17" ht="15.75" customHeight="1" x14ac:dyDescent="0.25">
      <c r="M772" s="184"/>
      <c r="N772" s="185"/>
      <c r="O772" s="186"/>
      <c r="P772" s="187"/>
      <c r="Q772" s="187"/>
    </row>
    <row r="773" spans="13:17" ht="15.75" customHeight="1" x14ac:dyDescent="0.25">
      <c r="M773" s="184"/>
      <c r="N773" s="185"/>
      <c r="O773" s="186"/>
      <c r="P773" s="187"/>
      <c r="Q773" s="187"/>
    </row>
    <row r="774" spans="13:17" ht="15.75" customHeight="1" x14ac:dyDescent="0.25">
      <c r="M774" s="184"/>
      <c r="N774" s="185"/>
      <c r="O774" s="186"/>
      <c r="P774" s="187"/>
      <c r="Q774" s="187"/>
    </row>
    <row r="775" spans="13:17" ht="15.75" customHeight="1" x14ac:dyDescent="0.25">
      <c r="M775" s="184"/>
      <c r="N775" s="185"/>
      <c r="O775" s="186"/>
      <c r="P775" s="187"/>
      <c r="Q775" s="187"/>
    </row>
    <row r="776" spans="13:17" ht="15.75" customHeight="1" x14ac:dyDescent="0.25">
      <c r="M776" s="184"/>
      <c r="N776" s="185"/>
      <c r="O776" s="186"/>
      <c r="P776" s="187"/>
      <c r="Q776" s="187"/>
    </row>
    <row r="777" spans="13:17" ht="15.75" customHeight="1" x14ac:dyDescent="0.25">
      <c r="M777" s="184"/>
      <c r="N777" s="185"/>
      <c r="O777" s="186"/>
      <c r="P777" s="187"/>
      <c r="Q777" s="187"/>
    </row>
    <row r="778" spans="13:17" ht="15.75" customHeight="1" x14ac:dyDescent="0.25">
      <c r="M778" s="184"/>
      <c r="N778" s="185"/>
      <c r="O778" s="186"/>
      <c r="P778" s="187"/>
      <c r="Q778" s="187"/>
    </row>
    <row r="779" spans="13:17" ht="15.75" customHeight="1" x14ac:dyDescent="0.25">
      <c r="M779" s="184"/>
      <c r="N779" s="185"/>
      <c r="O779" s="186"/>
      <c r="P779" s="187"/>
      <c r="Q779" s="187"/>
    </row>
    <row r="780" spans="13:17" ht="15.75" customHeight="1" x14ac:dyDescent="0.25">
      <c r="M780" s="184"/>
      <c r="N780" s="185"/>
      <c r="O780" s="186"/>
      <c r="P780" s="187"/>
      <c r="Q780" s="187"/>
    </row>
    <row r="781" spans="13:17" ht="15.75" customHeight="1" x14ac:dyDescent="0.25">
      <c r="M781" s="184"/>
      <c r="N781" s="185"/>
      <c r="O781" s="186"/>
      <c r="P781" s="187"/>
      <c r="Q781" s="187"/>
    </row>
    <row r="782" spans="13:17" ht="15.75" customHeight="1" x14ac:dyDescent="0.25">
      <c r="M782" s="184"/>
      <c r="N782" s="185"/>
      <c r="O782" s="186"/>
      <c r="P782" s="187"/>
      <c r="Q782" s="187"/>
    </row>
    <row r="783" spans="13:17" ht="15.75" customHeight="1" x14ac:dyDescent="0.25">
      <c r="M783" s="184"/>
      <c r="N783" s="185"/>
      <c r="O783" s="186"/>
      <c r="P783" s="187"/>
      <c r="Q783" s="187"/>
    </row>
    <row r="784" spans="13:17" ht="15.75" customHeight="1" x14ac:dyDescent="0.25">
      <c r="M784" s="184"/>
      <c r="N784" s="185"/>
      <c r="O784" s="186"/>
      <c r="P784" s="187"/>
      <c r="Q784" s="187"/>
    </row>
    <row r="785" spans="13:17" ht="15.75" customHeight="1" x14ac:dyDescent="0.25">
      <c r="M785" s="184"/>
      <c r="N785" s="185"/>
      <c r="O785" s="186"/>
      <c r="P785" s="187"/>
      <c r="Q785" s="187"/>
    </row>
    <row r="786" spans="13:17" ht="15.75" customHeight="1" x14ac:dyDescent="0.25">
      <c r="M786" s="184"/>
      <c r="N786" s="185"/>
      <c r="O786" s="186"/>
      <c r="P786" s="187"/>
      <c r="Q786" s="187"/>
    </row>
    <row r="787" spans="13:17" ht="15.75" customHeight="1" x14ac:dyDescent="0.25">
      <c r="M787" s="184"/>
      <c r="N787" s="185"/>
      <c r="O787" s="186"/>
      <c r="P787" s="187"/>
      <c r="Q787" s="187"/>
    </row>
    <row r="788" spans="13:17" ht="15.75" customHeight="1" x14ac:dyDescent="0.25">
      <c r="M788" s="184"/>
      <c r="N788" s="185"/>
      <c r="O788" s="186"/>
      <c r="P788" s="187"/>
      <c r="Q788" s="187"/>
    </row>
    <row r="789" spans="13:17" ht="15.75" customHeight="1" x14ac:dyDescent="0.25">
      <c r="M789" s="184"/>
      <c r="N789" s="185"/>
      <c r="O789" s="186"/>
      <c r="P789" s="187"/>
      <c r="Q789" s="187"/>
    </row>
    <row r="790" spans="13:17" ht="15.75" customHeight="1" x14ac:dyDescent="0.25">
      <c r="M790" s="184"/>
      <c r="N790" s="185"/>
      <c r="O790" s="186"/>
      <c r="P790" s="187"/>
      <c r="Q790" s="187"/>
    </row>
    <row r="791" spans="13:17" ht="15.75" customHeight="1" x14ac:dyDescent="0.25">
      <c r="M791" s="184"/>
      <c r="N791" s="185"/>
      <c r="O791" s="186"/>
      <c r="P791" s="187"/>
      <c r="Q791" s="187"/>
    </row>
    <row r="792" spans="13:17" ht="15.75" customHeight="1" x14ac:dyDescent="0.25">
      <c r="M792" s="184"/>
      <c r="N792" s="185"/>
      <c r="O792" s="186"/>
      <c r="P792" s="187"/>
      <c r="Q792" s="187"/>
    </row>
    <row r="793" spans="13:17" ht="15.75" customHeight="1" x14ac:dyDescent="0.25">
      <c r="M793" s="184"/>
      <c r="N793" s="185"/>
      <c r="O793" s="186"/>
      <c r="P793" s="187"/>
      <c r="Q793" s="187"/>
    </row>
    <row r="794" spans="13:17" ht="15.75" customHeight="1" x14ac:dyDescent="0.25">
      <c r="M794" s="184"/>
      <c r="N794" s="185"/>
      <c r="O794" s="186"/>
      <c r="P794" s="187"/>
      <c r="Q794" s="187"/>
    </row>
    <row r="795" spans="13:17" ht="15.75" customHeight="1" x14ac:dyDescent="0.25">
      <c r="M795" s="184"/>
      <c r="N795" s="185"/>
      <c r="O795" s="186"/>
      <c r="P795" s="187"/>
      <c r="Q795" s="187"/>
    </row>
    <row r="796" spans="13:17" ht="15.75" customHeight="1" x14ac:dyDescent="0.25">
      <c r="M796" s="184"/>
      <c r="N796" s="185"/>
      <c r="O796" s="186"/>
      <c r="P796" s="187"/>
      <c r="Q796" s="187"/>
    </row>
    <row r="797" spans="13:17" ht="15.75" customHeight="1" x14ac:dyDescent="0.25">
      <c r="M797" s="184"/>
      <c r="N797" s="185"/>
      <c r="O797" s="186"/>
      <c r="P797" s="187"/>
      <c r="Q797" s="187"/>
    </row>
    <row r="798" spans="13:17" ht="15.75" customHeight="1" x14ac:dyDescent="0.25">
      <c r="M798" s="184"/>
      <c r="N798" s="185"/>
      <c r="O798" s="186"/>
      <c r="P798" s="187"/>
      <c r="Q798" s="187"/>
    </row>
    <row r="799" spans="13:17" ht="15.75" customHeight="1" x14ac:dyDescent="0.25">
      <c r="M799" s="184"/>
      <c r="N799" s="185"/>
      <c r="O799" s="186"/>
      <c r="P799" s="187"/>
      <c r="Q799" s="187"/>
    </row>
    <row r="800" spans="13:17" ht="15.75" customHeight="1" x14ac:dyDescent="0.25">
      <c r="M800" s="184"/>
      <c r="N800" s="185"/>
      <c r="O800" s="186"/>
      <c r="P800" s="187"/>
      <c r="Q800" s="187"/>
    </row>
    <row r="801" spans="13:17" ht="15.75" customHeight="1" x14ac:dyDescent="0.25">
      <c r="M801" s="184"/>
      <c r="N801" s="185"/>
      <c r="O801" s="186"/>
      <c r="P801" s="187"/>
      <c r="Q801" s="187"/>
    </row>
    <row r="802" spans="13:17" ht="15.75" customHeight="1" x14ac:dyDescent="0.25">
      <c r="M802" s="184"/>
      <c r="N802" s="185"/>
      <c r="O802" s="186"/>
      <c r="P802" s="187"/>
      <c r="Q802" s="187"/>
    </row>
    <row r="803" spans="13:17" ht="15.75" customHeight="1" x14ac:dyDescent="0.25">
      <c r="M803" s="184"/>
      <c r="N803" s="185"/>
      <c r="O803" s="186"/>
      <c r="P803" s="187"/>
      <c r="Q803" s="187"/>
    </row>
    <row r="804" spans="13:17" ht="15.75" customHeight="1" x14ac:dyDescent="0.25">
      <c r="M804" s="184"/>
      <c r="N804" s="185"/>
      <c r="O804" s="186"/>
      <c r="P804" s="187"/>
      <c r="Q804" s="187"/>
    </row>
    <row r="805" spans="13:17" ht="15.75" customHeight="1" x14ac:dyDescent="0.25">
      <c r="M805" s="184"/>
      <c r="N805" s="185"/>
      <c r="O805" s="186"/>
      <c r="P805" s="187"/>
      <c r="Q805" s="187"/>
    </row>
    <row r="806" spans="13:17" ht="15.75" customHeight="1" x14ac:dyDescent="0.25">
      <c r="M806" s="184"/>
      <c r="N806" s="185"/>
      <c r="O806" s="186"/>
      <c r="P806" s="187"/>
      <c r="Q806" s="187"/>
    </row>
    <row r="807" spans="13:17" ht="15.75" customHeight="1" x14ac:dyDescent="0.25">
      <c r="M807" s="184"/>
      <c r="N807" s="185"/>
      <c r="O807" s="186"/>
      <c r="P807" s="187"/>
      <c r="Q807" s="187"/>
    </row>
    <row r="808" spans="13:17" ht="15.75" customHeight="1" x14ac:dyDescent="0.25">
      <c r="M808" s="184"/>
      <c r="N808" s="185"/>
      <c r="O808" s="186"/>
      <c r="P808" s="187"/>
      <c r="Q808" s="187"/>
    </row>
    <row r="809" spans="13:17" ht="15.75" customHeight="1" x14ac:dyDescent="0.25">
      <c r="M809" s="184"/>
      <c r="N809" s="185"/>
      <c r="O809" s="186"/>
      <c r="P809" s="187"/>
      <c r="Q809" s="187"/>
    </row>
    <row r="810" spans="13:17" ht="15.75" customHeight="1" x14ac:dyDescent="0.25">
      <c r="M810" s="184"/>
      <c r="N810" s="185"/>
      <c r="O810" s="186"/>
      <c r="P810" s="187"/>
      <c r="Q810" s="187"/>
    </row>
    <row r="811" spans="13:17" ht="15.75" customHeight="1" x14ac:dyDescent="0.25">
      <c r="M811" s="184"/>
      <c r="N811" s="185"/>
      <c r="O811" s="186"/>
      <c r="P811" s="187"/>
      <c r="Q811" s="187"/>
    </row>
    <row r="812" spans="13:17" ht="15.75" customHeight="1" x14ac:dyDescent="0.25">
      <c r="M812" s="184"/>
      <c r="N812" s="185"/>
      <c r="O812" s="186"/>
      <c r="P812" s="187"/>
      <c r="Q812" s="187"/>
    </row>
    <row r="813" spans="13:17" ht="15.75" customHeight="1" x14ac:dyDescent="0.25">
      <c r="M813" s="184"/>
      <c r="N813" s="185"/>
      <c r="O813" s="186"/>
      <c r="P813" s="187"/>
      <c r="Q813" s="187"/>
    </row>
    <row r="814" spans="13:17" ht="15.75" customHeight="1" x14ac:dyDescent="0.25">
      <c r="M814" s="184"/>
      <c r="N814" s="185"/>
      <c r="O814" s="186"/>
      <c r="P814" s="187"/>
      <c r="Q814" s="187"/>
    </row>
    <row r="815" spans="13:17" ht="15.75" customHeight="1" x14ac:dyDescent="0.25">
      <c r="M815" s="184"/>
      <c r="N815" s="185"/>
      <c r="O815" s="186"/>
      <c r="P815" s="187"/>
      <c r="Q815" s="187"/>
    </row>
    <row r="816" spans="13:17" ht="15.75" customHeight="1" x14ac:dyDescent="0.25">
      <c r="M816" s="184"/>
      <c r="N816" s="185"/>
      <c r="O816" s="186"/>
      <c r="P816" s="187"/>
      <c r="Q816" s="187"/>
    </row>
    <row r="817" spans="13:17" ht="15.75" customHeight="1" x14ac:dyDescent="0.25">
      <c r="M817" s="184"/>
      <c r="N817" s="185"/>
      <c r="O817" s="186"/>
      <c r="P817" s="187"/>
      <c r="Q817" s="187"/>
    </row>
    <row r="818" spans="13:17" ht="15.75" customHeight="1" x14ac:dyDescent="0.25">
      <c r="M818" s="184"/>
      <c r="N818" s="185"/>
      <c r="O818" s="186"/>
      <c r="P818" s="187"/>
      <c r="Q818" s="187"/>
    </row>
    <row r="819" spans="13:17" ht="15.75" customHeight="1" x14ac:dyDescent="0.25">
      <c r="M819" s="184"/>
      <c r="N819" s="185"/>
      <c r="O819" s="186"/>
      <c r="P819" s="187"/>
      <c r="Q819" s="187"/>
    </row>
    <row r="820" spans="13:17" ht="15.75" customHeight="1" x14ac:dyDescent="0.25">
      <c r="M820" s="184"/>
      <c r="N820" s="185"/>
      <c r="O820" s="186"/>
      <c r="P820" s="187"/>
      <c r="Q820" s="187"/>
    </row>
    <row r="821" spans="13:17" ht="15.75" customHeight="1" x14ac:dyDescent="0.25">
      <c r="M821" s="184"/>
      <c r="N821" s="185"/>
      <c r="O821" s="186"/>
      <c r="P821" s="187"/>
      <c r="Q821" s="187"/>
    </row>
    <row r="822" spans="13:17" ht="15.75" customHeight="1" x14ac:dyDescent="0.25">
      <c r="M822" s="184"/>
      <c r="N822" s="185"/>
      <c r="O822" s="186"/>
      <c r="P822" s="187"/>
      <c r="Q822" s="187"/>
    </row>
    <row r="823" spans="13:17" ht="15.75" customHeight="1" x14ac:dyDescent="0.25">
      <c r="M823" s="184"/>
      <c r="N823" s="185"/>
      <c r="O823" s="186"/>
      <c r="P823" s="187"/>
      <c r="Q823" s="187"/>
    </row>
    <row r="824" spans="13:17" ht="15.75" customHeight="1" x14ac:dyDescent="0.25">
      <c r="M824" s="184"/>
      <c r="N824" s="185"/>
      <c r="O824" s="186"/>
      <c r="P824" s="187"/>
      <c r="Q824" s="187"/>
    </row>
    <row r="825" spans="13:17" ht="15.75" customHeight="1" x14ac:dyDescent="0.25">
      <c r="M825" s="184"/>
      <c r="N825" s="185"/>
      <c r="O825" s="186"/>
      <c r="P825" s="187"/>
      <c r="Q825" s="187"/>
    </row>
    <row r="826" spans="13:17" ht="15.75" customHeight="1" x14ac:dyDescent="0.25">
      <c r="M826" s="184"/>
      <c r="N826" s="185"/>
      <c r="O826" s="186"/>
      <c r="P826" s="187"/>
      <c r="Q826" s="187"/>
    </row>
    <row r="827" spans="13:17" ht="15.75" customHeight="1" x14ac:dyDescent="0.25">
      <c r="M827" s="184"/>
      <c r="N827" s="185"/>
      <c r="O827" s="186"/>
      <c r="P827" s="187"/>
      <c r="Q827" s="187"/>
    </row>
    <row r="828" spans="13:17" ht="15.75" customHeight="1" x14ac:dyDescent="0.25">
      <c r="M828" s="184"/>
      <c r="N828" s="185"/>
      <c r="O828" s="186"/>
      <c r="P828" s="187"/>
      <c r="Q828" s="187"/>
    </row>
    <row r="829" spans="13:17" ht="15.75" customHeight="1" x14ac:dyDescent="0.25">
      <c r="M829" s="184"/>
      <c r="N829" s="185"/>
      <c r="O829" s="186"/>
      <c r="P829" s="187"/>
      <c r="Q829" s="187"/>
    </row>
    <row r="830" spans="13:17" ht="15.75" customHeight="1" x14ac:dyDescent="0.25">
      <c r="M830" s="184"/>
      <c r="N830" s="185"/>
      <c r="O830" s="186"/>
      <c r="P830" s="187"/>
      <c r="Q830" s="187"/>
    </row>
    <row r="831" spans="13:17" ht="15.75" customHeight="1" x14ac:dyDescent="0.25">
      <c r="M831" s="184"/>
      <c r="N831" s="185"/>
      <c r="O831" s="186"/>
      <c r="P831" s="187"/>
      <c r="Q831" s="187"/>
    </row>
    <row r="832" spans="13:17" ht="15.75" customHeight="1" x14ac:dyDescent="0.25">
      <c r="M832" s="184"/>
      <c r="N832" s="185"/>
      <c r="O832" s="186"/>
      <c r="P832" s="187"/>
      <c r="Q832" s="187"/>
    </row>
    <row r="833" spans="13:17" ht="15.75" customHeight="1" x14ac:dyDescent="0.25">
      <c r="M833" s="184"/>
      <c r="N833" s="185"/>
      <c r="O833" s="186"/>
      <c r="P833" s="187"/>
      <c r="Q833" s="187"/>
    </row>
    <row r="834" spans="13:17" ht="15.75" customHeight="1" x14ac:dyDescent="0.25">
      <c r="M834" s="184"/>
      <c r="N834" s="185"/>
      <c r="O834" s="186"/>
      <c r="P834" s="187"/>
      <c r="Q834" s="187"/>
    </row>
    <row r="835" spans="13:17" ht="15.75" customHeight="1" x14ac:dyDescent="0.25">
      <c r="M835" s="184"/>
      <c r="N835" s="185"/>
      <c r="O835" s="186"/>
      <c r="P835" s="187"/>
      <c r="Q835" s="187"/>
    </row>
    <row r="836" spans="13:17" ht="15.75" customHeight="1" x14ac:dyDescent="0.25">
      <c r="M836" s="184"/>
      <c r="N836" s="185"/>
      <c r="O836" s="186"/>
      <c r="P836" s="187"/>
      <c r="Q836" s="187"/>
    </row>
    <row r="837" spans="13:17" ht="15.75" customHeight="1" x14ac:dyDescent="0.25">
      <c r="M837" s="184"/>
      <c r="N837" s="185"/>
      <c r="O837" s="186"/>
      <c r="P837" s="187"/>
      <c r="Q837" s="187"/>
    </row>
    <row r="838" spans="13:17" ht="15.75" customHeight="1" x14ac:dyDescent="0.25">
      <c r="M838" s="184"/>
      <c r="N838" s="185"/>
      <c r="O838" s="186"/>
      <c r="P838" s="187"/>
      <c r="Q838" s="187"/>
    </row>
    <row r="839" spans="13:17" ht="15.75" customHeight="1" x14ac:dyDescent="0.25">
      <c r="M839" s="184"/>
      <c r="N839" s="185"/>
      <c r="O839" s="186"/>
      <c r="P839" s="187"/>
      <c r="Q839" s="187"/>
    </row>
    <row r="840" spans="13:17" ht="15.75" customHeight="1" x14ac:dyDescent="0.25">
      <c r="M840" s="184"/>
      <c r="N840" s="185"/>
      <c r="O840" s="186"/>
      <c r="P840" s="187"/>
      <c r="Q840" s="187"/>
    </row>
    <row r="841" spans="13:17" ht="15.75" customHeight="1" x14ac:dyDescent="0.25">
      <c r="M841" s="184"/>
      <c r="N841" s="185"/>
      <c r="O841" s="186"/>
      <c r="P841" s="187"/>
      <c r="Q841" s="187"/>
    </row>
    <row r="842" spans="13:17" ht="15.75" customHeight="1" x14ac:dyDescent="0.25">
      <c r="M842" s="184"/>
      <c r="N842" s="185"/>
      <c r="O842" s="186"/>
      <c r="P842" s="187"/>
      <c r="Q842" s="187"/>
    </row>
    <row r="843" spans="13:17" ht="15.75" customHeight="1" x14ac:dyDescent="0.25">
      <c r="M843" s="184"/>
      <c r="N843" s="185"/>
      <c r="O843" s="186"/>
      <c r="P843" s="187"/>
      <c r="Q843" s="187"/>
    </row>
    <row r="844" spans="13:17" ht="15.75" customHeight="1" x14ac:dyDescent="0.25">
      <c r="M844" s="184"/>
      <c r="N844" s="185"/>
      <c r="O844" s="186"/>
      <c r="P844" s="187"/>
      <c r="Q844" s="187"/>
    </row>
    <row r="845" spans="13:17" ht="15.75" customHeight="1" x14ac:dyDescent="0.25">
      <c r="M845" s="184"/>
      <c r="N845" s="185"/>
      <c r="O845" s="186"/>
      <c r="P845" s="187"/>
      <c r="Q845" s="187"/>
    </row>
    <row r="846" spans="13:17" ht="15.75" customHeight="1" x14ac:dyDescent="0.25">
      <c r="M846" s="184"/>
      <c r="N846" s="185"/>
      <c r="O846" s="186"/>
      <c r="P846" s="187"/>
      <c r="Q846" s="187"/>
    </row>
    <row r="847" spans="13:17" ht="15.75" customHeight="1" x14ac:dyDescent="0.25">
      <c r="M847" s="184"/>
      <c r="N847" s="185"/>
      <c r="O847" s="186"/>
      <c r="P847" s="187"/>
      <c r="Q847" s="187"/>
    </row>
    <row r="848" spans="13:17" ht="15.75" customHeight="1" x14ac:dyDescent="0.25">
      <c r="M848" s="184"/>
      <c r="N848" s="185"/>
      <c r="O848" s="186"/>
      <c r="P848" s="187"/>
      <c r="Q848" s="187"/>
    </row>
    <row r="849" spans="13:17" ht="15.75" customHeight="1" x14ac:dyDescent="0.25">
      <c r="M849" s="184"/>
      <c r="N849" s="185"/>
      <c r="O849" s="186"/>
      <c r="P849" s="187"/>
      <c r="Q849" s="187"/>
    </row>
    <row r="850" spans="13:17" ht="15.75" customHeight="1" x14ac:dyDescent="0.25">
      <c r="M850" s="184"/>
      <c r="N850" s="185"/>
      <c r="O850" s="186"/>
      <c r="P850" s="187"/>
      <c r="Q850" s="187"/>
    </row>
    <row r="851" spans="13:17" ht="15.75" customHeight="1" x14ac:dyDescent="0.25">
      <c r="M851" s="184"/>
      <c r="N851" s="185"/>
      <c r="O851" s="186"/>
      <c r="P851" s="187"/>
      <c r="Q851" s="187"/>
    </row>
    <row r="852" spans="13:17" ht="15.75" customHeight="1" x14ac:dyDescent="0.25">
      <c r="M852" s="184"/>
      <c r="N852" s="185"/>
      <c r="O852" s="186"/>
      <c r="P852" s="187"/>
      <c r="Q852" s="187"/>
    </row>
    <row r="853" spans="13:17" ht="15.75" customHeight="1" x14ac:dyDescent="0.25">
      <c r="M853" s="184"/>
      <c r="N853" s="185"/>
      <c r="O853" s="186"/>
      <c r="P853" s="187"/>
      <c r="Q853" s="187"/>
    </row>
    <row r="854" spans="13:17" ht="15.75" customHeight="1" x14ac:dyDescent="0.25">
      <c r="M854" s="184"/>
      <c r="N854" s="185"/>
      <c r="O854" s="186"/>
      <c r="P854" s="187"/>
      <c r="Q854" s="187"/>
    </row>
    <row r="855" spans="13:17" ht="15.75" customHeight="1" x14ac:dyDescent="0.25">
      <c r="M855" s="184"/>
      <c r="N855" s="185"/>
      <c r="O855" s="186"/>
      <c r="P855" s="187"/>
      <c r="Q855" s="187"/>
    </row>
    <row r="856" spans="13:17" ht="15.75" customHeight="1" x14ac:dyDescent="0.25">
      <c r="M856" s="184"/>
      <c r="N856" s="185"/>
      <c r="O856" s="186"/>
      <c r="P856" s="187"/>
      <c r="Q856" s="187"/>
    </row>
    <row r="857" spans="13:17" ht="15.75" customHeight="1" x14ac:dyDescent="0.25">
      <c r="M857" s="184"/>
      <c r="N857" s="185"/>
      <c r="O857" s="186"/>
      <c r="P857" s="187"/>
      <c r="Q857" s="187"/>
    </row>
    <row r="858" spans="13:17" ht="15.75" customHeight="1" x14ac:dyDescent="0.25">
      <c r="M858" s="184"/>
      <c r="N858" s="185"/>
      <c r="O858" s="186"/>
      <c r="P858" s="187"/>
      <c r="Q858" s="187"/>
    </row>
    <row r="859" spans="13:17" ht="15.75" customHeight="1" x14ac:dyDescent="0.25">
      <c r="M859" s="184"/>
      <c r="N859" s="185"/>
      <c r="O859" s="186"/>
      <c r="P859" s="187"/>
      <c r="Q859" s="187"/>
    </row>
    <row r="860" spans="13:17" ht="15.75" customHeight="1" x14ac:dyDescent="0.25">
      <c r="M860" s="184"/>
      <c r="N860" s="185"/>
      <c r="O860" s="186"/>
      <c r="P860" s="187"/>
      <c r="Q860" s="187"/>
    </row>
    <row r="861" spans="13:17" ht="15.75" customHeight="1" x14ac:dyDescent="0.25">
      <c r="M861" s="184"/>
      <c r="N861" s="185"/>
      <c r="O861" s="186"/>
      <c r="P861" s="187"/>
      <c r="Q861" s="187"/>
    </row>
    <row r="862" spans="13:17" ht="15.75" customHeight="1" x14ac:dyDescent="0.25">
      <c r="M862" s="184"/>
      <c r="N862" s="185"/>
      <c r="O862" s="186"/>
      <c r="P862" s="187"/>
      <c r="Q862" s="187"/>
    </row>
    <row r="863" spans="13:17" ht="15.75" customHeight="1" x14ac:dyDescent="0.25">
      <c r="M863" s="184"/>
      <c r="N863" s="185"/>
      <c r="O863" s="186"/>
      <c r="P863" s="187"/>
      <c r="Q863" s="187"/>
    </row>
    <row r="864" spans="13:17" ht="15.75" customHeight="1" x14ac:dyDescent="0.25">
      <c r="M864" s="184"/>
      <c r="N864" s="185"/>
      <c r="O864" s="186"/>
      <c r="P864" s="187"/>
      <c r="Q864" s="187"/>
    </row>
    <row r="865" spans="13:17" ht="15.75" customHeight="1" x14ac:dyDescent="0.25">
      <c r="M865" s="184"/>
      <c r="N865" s="185"/>
      <c r="O865" s="186"/>
      <c r="P865" s="187"/>
      <c r="Q865" s="187"/>
    </row>
    <row r="866" spans="13:17" ht="15.75" customHeight="1" x14ac:dyDescent="0.25">
      <c r="M866" s="184"/>
      <c r="N866" s="185"/>
      <c r="O866" s="186"/>
      <c r="P866" s="187"/>
      <c r="Q866" s="187"/>
    </row>
    <row r="867" spans="13:17" ht="15.75" customHeight="1" x14ac:dyDescent="0.25">
      <c r="M867" s="184"/>
      <c r="N867" s="185"/>
      <c r="O867" s="186"/>
      <c r="P867" s="187"/>
      <c r="Q867" s="187"/>
    </row>
    <row r="868" spans="13:17" ht="15.75" customHeight="1" x14ac:dyDescent="0.25">
      <c r="M868" s="184"/>
      <c r="N868" s="185"/>
      <c r="O868" s="186"/>
      <c r="P868" s="187"/>
      <c r="Q868" s="187"/>
    </row>
    <row r="869" spans="13:17" ht="15.75" customHeight="1" x14ac:dyDescent="0.25">
      <c r="M869" s="184"/>
      <c r="N869" s="185"/>
      <c r="O869" s="186"/>
      <c r="P869" s="187"/>
      <c r="Q869" s="187"/>
    </row>
    <row r="870" spans="13:17" ht="15.75" customHeight="1" x14ac:dyDescent="0.25">
      <c r="M870" s="184"/>
      <c r="N870" s="185"/>
      <c r="O870" s="186"/>
      <c r="P870" s="187"/>
      <c r="Q870" s="187"/>
    </row>
    <row r="871" spans="13:17" ht="15.75" customHeight="1" x14ac:dyDescent="0.25">
      <c r="M871" s="184"/>
      <c r="N871" s="185"/>
      <c r="O871" s="186"/>
      <c r="P871" s="187"/>
      <c r="Q871" s="187"/>
    </row>
    <row r="872" spans="13:17" ht="15.75" customHeight="1" x14ac:dyDescent="0.25">
      <c r="M872" s="184"/>
      <c r="N872" s="185"/>
      <c r="O872" s="186"/>
      <c r="P872" s="187"/>
      <c r="Q872" s="187"/>
    </row>
    <row r="873" spans="13:17" ht="15.75" customHeight="1" x14ac:dyDescent="0.25">
      <c r="M873" s="184"/>
      <c r="N873" s="185"/>
      <c r="O873" s="186"/>
      <c r="P873" s="187"/>
      <c r="Q873" s="187"/>
    </row>
    <row r="874" spans="13:17" ht="15.75" customHeight="1" x14ac:dyDescent="0.25">
      <c r="M874" s="184"/>
      <c r="N874" s="185"/>
      <c r="O874" s="186"/>
      <c r="P874" s="187"/>
      <c r="Q874" s="187"/>
    </row>
    <row r="875" spans="13:17" ht="15.75" customHeight="1" x14ac:dyDescent="0.25">
      <c r="M875" s="184"/>
      <c r="N875" s="185"/>
      <c r="O875" s="186"/>
      <c r="P875" s="187"/>
      <c r="Q875" s="187"/>
    </row>
    <row r="876" spans="13:17" ht="15.75" customHeight="1" x14ac:dyDescent="0.25">
      <c r="M876" s="184"/>
      <c r="N876" s="185"/>
      <c r="O876" s="186"/>
      <c r="P876" s="187"/>
      <c r="Q876" s="187"/>
    </row>
    <row r="877" spans="13:17" ht="15.75" customHeight="1" x14ac:dyDescent="0.25">
      <c r="M877" s="184"/>
      <c r="N877" s="185"/>
      <c r="O877" s="186"/>
      <c r="P877" s="187"/>
      <c r="Q877" s="187"/>
    </row>
    <row r="878" spans="13:17" ht="15.75" customHeight="1" x14ac:dyDescent="0.25">
      <c r="M878" s="184"/>
      <c r="N878" s="185"/>
      <c r="O878" s="186"/>
      <c r="P878" s="187"/>
      <c r="Q878" s="187"/>
    </row>
    <row r="879" spans="13:17" ht="15.75" customHeight="1" x14ac:dyDescent="0.25">
      <c r="M879" s="184"/>
      <c r="N879" s="185"/>
      <c r="O879" s="186"/>
      <c r="P879" s="187"/>
      <c r="Q879" s="187"/>
    </row>
    <row r="880" spans="13:17" ht="15.75" customHeight="1" x14ac:dyDescent="0.25">
      <c r="M880" s="184"/>
      <c r="N880" s="185"/>
      <c r="O880" s="186"/>
      <c r="P880" s="187"/>
      <c r="Q880" s="187"/>
    </row>
    <row r="881" spans="13:17" ht="15.75" customHeight="1" x14ac:dyDescent="0.25">
      <c r="M881" s="184"/>
      <c r="N881" s="185"/>
      <c r="O881" s="186"/>
      <c r="P881" s="187"/>
      <c r="Q881" s="187"/>
    </row>
    <row r="882" spans="13:17" ht="15.75" customHeight="1" x14ac:dyDescent="0.25">
      <c r="M882" s="184"/>
      <c r="N882" s="185"/>
      <c r="O882" s="186"/>
      <c r="P882" s="187"/>
      <c r="Q882" s="187"/>
    </row>
    <row r="883" spans="13:17" ht="15.75" customHeight="1" x14ac:dyDescent="0.25">
      <c r="M883" s="184"/>
      <c r="N883" s="185"/>
      <c r="O883" s="186"/>
      <c r="P883" s="187"/>
      <c r="Q883" s="187"/>
    </row>
    <row r="884" spans="13:17" ht="15.75" customHeight="1" x14ac:dyDescent="0.25">
      <c r="M884" s="184"/>
      <c r="N884" s="185"/>
      <c r="O884" s="186"/>
      <c r="P884" s="187"/>
      <c r="Q884" s="187"/>
    </row>
    <row r="885" spans="13:17" ht="15.75" customHeight="1" x14ac:dyDescent="0.25">
      <c r="M885" s="184"/>
      <c r="N885" s="185"/>
      <c r="O885" s="186"/>
      <c r="P885" s="187"/>
      <c r="Q885" s="187"/>
    </row>
    <row r="886" spans="13:17" ht="15.75" customHeight="1" x14ac:dyDescent="0.25">
      <c r="M886" s="184"/>
      <c r="N886" s="185"/>
      <c r="O886" s="186"/>
      <c r="P886" s="187"/>
      <c r="Q886" s="187"/>
    </row>
    <row r="887" spans="13:17" ht="15.75" customHeight="1" x14ac:dyDescent="0.25">
      <c r="M887" s="184"/>
      <c r="N887" s="185"/>
      <c r="O887" s="186"/>
      <c r="P887" s="187"/>
      <c r="Q887" s="187"/>
    </row>
    <row r="888" spans="13:17" ht="15.75" customHeight="1" x14ac:dyDescent="0.25">
      <c r="M888" s="184"/>
      <c r="N888" s="185"/>
      <c r="O888" s="186"/>
      <c r="P888" s="187"/>
      <c r="Q888" s="187"/>
    </row>
    <row r="889" spans="13:17" ht="15.75" customHeight="1" x14ac:dyDescent="0.25">
      <c r="M889" s="184"/>
      <c r="N889" s="185"/>
      <c r="O889" s="186"/>
      <c r="P889" s="187"/>
      <c r="Q889" s="187"/>
    </row>
    <row r="890" spans="13:17" ht="15.75" customHeight="1" x14ac:dyDescent="0.25">
      <c r="M890" s="184"/>
      <c r="N890" s="185"/>
      <c r="O890" s="186"/>
      <c r="P890" s="187"/>
      <c r="Q890" s="187"/>
    </row>
    <row r="891" spans="13:17" ht="15.75" customHeight="1" x14ac:dyDescent="0.25">
      <c r="M891" s="184"/>
      <c r="N891" s="185"/>
      <c r="O891" s="186"/>
      <c r="P891" s="187"/>
      <c r="Q891" s="187"/>
    </row>
    <row r="892" spans="13:17" ht="15.75" customHeight="1" x14ac:dyDescent="0.25">
      <c r="M892" s="184"/>
      <c r="N892" s="185"/>
      <c r="O892" s="186"/>
      <c r="P892" s="187"/>
      <c r="Q892" s="187"/>
    </row>
    <row r="893" spans="13:17" ht="15.75" customHeight="1" x14ac:dyDescent="0.25">
      <c r="M893" s="184"/>
      <c r="N893" s="185"/>
      <c r="O893" s="186"/>
      <c r="P893" s="187"/>
      <c r="Q893" s="187"/>
    </row>
    <row r="894" spans="13:17" ht="15.75" customHeight="1" x14ac:dyDescent="0.25">
      <c r="M894" s="184"/>
      <c r="N894" s="185"/>
      <c r="O894" s="186"/>
      <c r="P894" s="187"/>
      <c r="Q894" s="187"/>
    </row>
    <row r="895" spans="13:17" ht="15.75" customHeight="1" x14ac:dyDescent="0.25">
      <c r="M895" s="184"/>
      <c r="N895" s="185"/>
      <c r="O895" s="186"/>
      <c r="P895" s="187"/>
      <c r="Q895" s="187"/>
    </row>
    <row r="896" spans="13:17" ht="15.75" customHeight="1" x14ac:dyDescent="0.25">
      <c r="M896" s="184"/>
      <c r="N896" s="185"/>
      <c r="O896" s="186"/>
      <c r="P896" s="187"/>
      <c r="Q896" s="187"/>
    </row>
    <row r="897" spans="13:17" ht="15.75" customHeight="1" x14ac:dyDescent="0.25">
      <c r="M897" s="184"/>
      <c r="N897" s="185"/>
      <c r="O897" s="186"/>
      <c r="P897" s="187"/>
      <c r="Q897" s="187"/>
    </row>
    <row r="898" spans="13:17" ht="15.75" customHeight="1" x14ac:dyDescent="0.25">
      <c r="M898" s="184"/>
      <c r="N898" s="185"/>
      <c r="O898" s="186"/>
      <c r="P898" s="187"/>
      <c r="Q898" s="187"/>
    </row>
    <row r="899" spans="13:17" ht="15.75" customHeight="1" x14ac:dyDescent="0.25">
      <c r="M899" s="184"/>
      <c r="N899" s="185"/>
      <c r="O899" s="186"/>
      <c r="P899" s="187"/>
      <c r="Q899" s="187"/>
    </row>
    <row r="900" spans="13:17" ht="15.75" customHeight="1" x14ac:dyDescent="0.25">
      <c r="M900" s="184"/>
      <c r="N900" s="185"/>
      <c r="O900" s="186"/>
      <c r="P900" s="187"/>
      <c r="Q900" s="187"/>
    </row>
    <row r="901" spans="13:17" ht="15.75" customHeight="1" x14ac:dyDescent="0.25">
      <c r="M901" s="184"/>
      <c r="N901" s="185"/>
      <c r="O901" s="186"/>
      <c r="P901" s="187"/>
      <c r="Q901" s="187"/>
    </row>
    <row r="902" spans="13:17" ht="15.75" customHeight="1" x14ac:dyDescent="0.25">
      <c r="M902" s="184"/>
      <c r="N902" s="185"/>
      <c r="O902" s="186"/>
      <c r="P902" s="187"/>
      <c r="Q902" s="187"/>
    </row>
    <row r="903" spans="13:17" ht="15.75" customHeight="1" x14ac:dyDescent="0.25">
      <c r="M903" s="184"/>
      <c r="N903" s="185"/>
      <c r="O903" s="186"/>
      <c r="P903" s="187"/>
      <c r="Q903" s="187"/>
    </row>
    <row r="904" spans="13:17" ht="15.75" customHeight="1" x14ac:dyDescent="0.25">
      <c r="M904" s="184"/>
      <c r="N904" s="185"/>
      <c r="O904" s="186"/>
      <c r="P904" s="187"/>
      <c r="Q904" s="187"/>
    </row>
    <row r="905" spans="13:17" ht="15.75" customHeight="1" x14ac:dyDescent="0.25">
      <c r="M905" s="184"/>
      <c r="N905" s="185"/>
      <c r="O905" s="186"/>
      <c r="P905" s="187"/>
      <c r="Q905" s="187"/>
    </row>
    <row r="906" spans="13:17" ht="15.75" customHeight="1" x14ac:dyDescent="0.25">
      <c r="M906" s="184"/>
      <c r="N906" s="185"/>
      <c r="O906" s="186"/>
      <c r="P906" s="187"/>
      <c r="Q906" s="187"/>
    </row>
    <row r="907" spans="13:17" ht="15.75" customHeight="1" x14ac:dyDescent="0.25">
      <c r="M907" s="184"/>
      <c r="N907" s="185"/>
      <c r="O907" s="186"/>
      <c r="P907" s="187"/>
      <c r="Q907" s="187"/>
    </row>
    <row r="908" spans="13:17" ht="15.75" customHeight="1" x14ac:dyDescent="0.25">
      <c r="M908" s="184"/>
      <c r="N908" s="185"/>
      <c r="O908" s="186"/>
      <c r="P908" s="187"/>
      <c r="Q908" s="187"/>
    </row>
    <row r="909" spans="13:17" ht="15.75" customHeight="1" x14ac:dyDescent="0.25">
      <c r="M909" s="184"/>
      <c r="N909" s="185"/>
      <c r="O909" s="186"/>
      <c r="P909" s="187"/>
      <c r="Q909" s="187"/>
    </row>
    <row r="910" spans="13:17" ht="15.75" customHeight="1" x14ac:dyDescent="0.25">
      <c r="M910" s="184"/>
      <c r="N910" s="185"/>
      <c r="O910" s="186"/>
      <c r="P910" s="187"/>
      <c r="Q910" s="187"/>
    </row>
    <row r="911" spans="13:17" ht="15.75" customHeight="1" x14ac:dyDescent="0.25">
      <c r="M911" s="184"/>
      <c r="N911" s="185"/>
      <c r="O911" s="186"/>
      <c r="P911" s="187"/>
      <c r="Q911" s="187"/>
    </row>
    <row r="912" spans="13:17" ht="15.75" customHeight="1" x14ac:dyDescent="0.25">
      <c r="M912" s="184"/>
      <c r="N912" s="185"/>
      <c r="O912" s="186"/>
      <c r="P912" s="187"/>
      <c r="Q912" s="187"/>
    </row>
    <row r="913" spans="13:17" ht="15.75" customHeight="1" x14ac:dyDescent="0.25">
      <c r="M913" s="184"/>
      <c r="N913" s="185"/>
      <c r="O913" s="186"/>
      <c r="P913" s="187"/>
      <c r="Q913" s="187"/>
    </row>
    <row r="914" spans="13:17" ht="15.75" customHeight="1" x14ac:dyDescent="0.25">
      <c r="M914" s="184"/>
      <c r="N914" s="185"/>
      <c r="O914" s="186"/>
      <c r="P914" s="187"/>
      <c r="Q914" s="187"/>
    </row>
    <row r="915" spans="13:17" ht="15.75" customHeight="1" x14ac:dyDescent="0.25">
      <c r="M915" s="184"/>
      <c r="N915" s="185"/>
      <c r="O915" s="186"/>
      <c r="P915" s="187"/>
      <c r="Q915" s="187"/>
    </row>
    <row r="916" spans="13:17" ht="15.75" customHeight="1" x14ac:dyDescent="0.25">
      <c r="M916" s="184"/>
      <c r="N916" s="185"/>
      <c r="O916" s="186"/>
      <c r="P916" s="187"/>
      <c r="Q916" s="187"/>
    </row>
    <row r="917" spans="13:17" ht="15.75" customHeight="1" x14ac:dyDescent="0.25">
      <c r="M917" s="184"/>
      <c r="N917" s="185"/>
      <c r="O917" s="186"/>
      <c r="P917" s="187"/>
      <c r="Q917" s="187"/>
    </row>
    <row r="918" spans="13:17" ht="15.75" customHeight="1" x14ac:dyDescent="0.25">
      <c r="M918" s="184"/>
      <c r="N918" s="185"/>
      <c r="O918" s="186"/>
      <c r="P918" s="187"/>
      <c r="Q918" s="187"/>
    </row>
    <row r="919" spans="13:17" ht="15.75" customHeight="1" x14ac:dyDescent="0.25">
      <c r="M919" s="184"/>
      <c r="N919" s="185"/>
      <c r="O919" s="186"/>
      <c r="P919" s="187"/>
      <c r="Q919" s="187"/>
    </row>
    <row r="920" spans="13:17" ht="15.75" customHeight="1" x14ac:dyDescent="0.25">
      <c r="M920" s="184"/>
      <c r="N920" s="185"/>
      <c r="O920" s="186"/>
      <c r="P920" s="187"/>
      <c r="Q920" s="187"/>
    </row>
    <row r="921" spans="13:17" ht="15.75" customHeight="1" x14ac:dyDescent="0.25">
      <c r="M921" s="184"/>
      <c r="N921" s="185"/>
      <c r="O921" s="186"/>
      <c r="P921" s="187"/>
      <c r="Q921" s="187"/>
    </row>
    <row r="922" spans="13:17" ht="15.75" customHeight="1" x14ac:dyDescent="0.25">
      <c r="M922" s="184"/>
      <c r="N922" s="185"/>
      <c r="O922" s="186"/>
      <c r="P922" s="187"/>
      <c r="Q922" s="187"/>
    </row>
    <row r="923" spans="13:17" ht="15.75" customHeight="1" x14ac:dyDescent="0.25">
      <c r="M923" s="184"/>
      <c r="N923" s="185"/>
      <c r="O923" s="186"/>
      <c r="P923" s="187"/>
      <c r="Q923" s="187"/>
    </row>
    <row r="924" spans="13:17" ht="15.75" customHeight="1" x14ac:dyDescent="0.25">
      <c r="M924" s="184"/>
      <c r="N924" s="185"/>
      <c r="O924" s="186"/>
      <c r="P924" s="187"/>
      <c r="Q924" s="187"/>
    </row>
    <row r="925" spans="13:17" ht="15.75" customHeight="1" x14ac:dyDescent="0.25">
      <c r="M925" s="184"/>
      <c r="N925" s="185"/>
      <c r="O925" s="186"/>
      <c r="P925" s="187"/>
      <c r="Q925" s="187"/>
    </row>
    <row r="926" spans="13:17" ht="15.75" customHeight="1" x14ac:dyDescent="0.25">
      <c r="M926" s="184"/>
      <c r="N926" s="185"/>
      <c r="O926" s="186"/>
      <c r="P926" s="187"/>
      <c r="Q926" s="187"/>
    </row>
    <row r="927" spans="13:17" ht="15.75" customHeight="1" x14ac:dyDescent="0.25">
      <c r="M927" s="184"/>
      <c r="N927" s="185"/>
      <c r="O927" s="186"/>
      <c r="P927" s="187"/>
      <c r="Q927" s="187"/>
    </row>
    <row r="928" spans="13:17" ht="15.75" customHeight="1" x14ac:dyDescent="0.25">
      <c r="M928" s="184"/>
      <c r="N928" s="185"/>
      <c r="O928" s="186"/>
      <c r="P928" s="187"/>
      <c r="Q928" s="187"/>
    </row>
    <row r="929" spans="13:17" ht="15.75" customHeight="1" x14ac:dyDescent="0.25">
      <c r="M929" s="184"/>
      <c r="N929" s="185"/>
      <c r="O929" s="186"/>
      <c r="P929" s="187"/>
      <c r="Q929" s="187"/>
    </row>
    <row r="930" spans="13:17" ht="15.75" customHeight="1" x14ac:dyDescent="0.25">
      <c r="M930" s="184"/>
      <c r="N930" s="185"/>
      <c r="O930" s="186"/>
      <c r="P930" s="187"/>
      <c r="Q930" s="187"/>
    </row>
    <row r="931" spans="13:17" ht="15.75" customHeight="1" x14ac:dyDescent="0.25">
      <c r="M931" s="184"/>
      <c r="N931" s="185"/>
      <c r="O931" s="186"/>
      <c r="P931" s="187"/>
      <c r="Q931" s="187"/>
    </row>
    <row r="932" spans="13:17" ht="15.75" customHeight="1" x14ac:dyDescent="0.25">
      <c r="M932" s="184"/>
      <c r="N932" s="185"/>
      <c r="O932" s="186"/>
      <c r="P932" s="187"/>
      <c r="Q932" s="187"/>
    </row>
    <row r="933" spans="13:17" ht="15.75" customHeight="1" x14ac:dyDescent="0.25">
      <c r="M933" s="184"/>
      <c r="N933" s="185"/>
      <c r="O933" s="186"/>
      <c r="P933" s="187"/>
      <c r="Q933" s="187"/>
    </row>
    <row r="934" spans="13:17" ht="15.75" customHeight="1" x14ac:dyDescent="0.25">
      <c r="M934" s="184"/>
      <c r="N934" s="185"/>
      <c r="O934" s="186"/>
      <c r="P934" s="187"/>
      <c r="Q934" s="187"/>
    </row>
    <row r="935" spans="13:17" ht="15.75" customHeight="1" x14ac:dyDescent="0.25">
      <c r="M935" s="184"/>
      <c r="N935" s="185"/>
      <c r="O935" s="186"/>
      <c r="P935" s="187"/>
      <c r="Q935" s="187"/>
    </row>
    <row r="936" spans="13:17" ht="15.75" customHeight="1" x14ac:dyDescent="0.25">
      <c r="M936" s="184"/>
      <c r="N936" s="185"/>
      <c r="O936" s="186"/>
      <c r="P936" s="187"/>
      <c r="Q936" s="187"/>
    </row>
    <row r="937" spans="13:17" ht="15.75" customHeight="1" x14ac:dyDescent="0.25">
      <c r="M937" s="184"/>
      <c r="N937" s="185"/>
      <c r="O937" s="186"/>
      <c r="P937" s="187"/>
      <c r="Q937" s="187"/>
    </row>
    <row r="938" spans="13:17" ht="15.75" customHeight="1" x14ac:dyDescent="0.25">
      <c r="M938" s="184"/>
      <c r="N938" s="185"/>
      <c r="O938" s="186"/>
      <c r="P938" s="187"/>
      <c r="Q938" s="187"/>
    </row>
    <row r="939" spans="13:17" ht="15.75" customHeight="1" x14ac:dyDescent="0.25">
      <c r="M939" s="184"/>
      <c r="N939" s="185"/>
      <c r="O939" s="186"/>
      <c r="P939" s="187"/>
      <c r="Q939" s="187"/>
    </row>
    <row r="940" spans="13:17" ht="15.75" customHeight="1" x14ac:dyDescent="0.25">
      <c r="M940" s="184"/>
      <c r="N940" s="185"/>
      <c r="O940" s="186"/>
      <c r="P940" s="187"/>
      <c r="Q940" s="187"/>
    </row>
    <row r="941" spans="13:17" ht="15.75" customHeight="1" x14ac:dyDescent="0.25">
      <c r="M941" s="184"/>
      <c r="N941" s="185"/>
      <c r="O941" s="186"/>
      <c r="P941" s="187"/>
      <c r="Q941" s="187"/>
    </row>
    <row r="942" spans="13:17" ht="15.75" customHeight="1" x14ac:dyDescent="0.25">
      <c r="M942" s="184"/>
      <c r="N942" s="185"/>
      <c r="O942" s="186"/>
      <c r="P942" s="187"/>
      <c r="Q942" s="187"/>
    </row>
    <row r="943" spans="13:17" ht="15.75" customHeight="1" x14ac:dyDescent="0.25">
      <c r="M943" s="184"/>
      <c r="N943" s="185"/>
      <c r="O943" s="186"/>
      <c r="P943" s="187"/>
      <c r="Q943" s="187"/>
    </row>
    <row r="944" spans="13:17" ht="15.75" customHeight="1" x14ac:dyDescent="0.25">
      <c r="M944" s="184"/>
      <c r="N944" s="185"/>
      <c r="O944" s="186"/>
      <c r="P944" s="187"/>
      <c r="Q944" s="187"/>
    </row>
    <row r="945" spans="13:17" ht="15.75" customHeight="1" x14ac:dyDescent="0.25">
      <c r="M945" s="184"/>
      <c r="N945" s="185"/>
      <c r="O945" s="186"/>
      <c r="P945" s="187"/>
      <c r="Q945" s="187"/>
    </row>
    <row r="946" spans="13:17" ht="15.75" customHeight="1" x14ac:dyDescent="0.25">
      <c r="M946" s="184"/>
      <c r="N946" s="185"/>
      <c r="O946" s="186"/>
      <c r="P946" s="187"/>
      <c r="Q946" s="187"/>
    </row>
    <row r="947" spans="13:17" ht="15.75" customHeight="1" x14ac:dyDescent="0.25">
      <c r="M947" s="184"/>
      <c r="N947" s="185"/>
      <c r="O947" s="186"/>
      <c r="P947" s="187"/>
      <c r="Q947" s="187"/>
    </row>
    <row r="948" spans="13:17" ht="15.75" customHeight="1" x14ac:dyDescent="0.25">
      <c r="M948" s="184"/>
      <c r="N948" s="185"/>
      <c r="O948" s="186"/>
      <c r="P948" s="187"/>
      <c r="Q948" s="187"/>
    </row>
    <row r="949" spans="13:17" ht="15.75" customHeight="1" x14ac:dyDescent="0.25">
      <c r="M949" s="184"/>
      <c r="N949" s="185"/>
      <c r="O949" s="186"/>
      <c r="P949" s="187"/>
      <c r="Q949" s="187"/>
    </row>
    <row r="950" spans="13:17" ht="15.75" customHeight="1" x14ac:dyDescent="0.25">
      <c r="M950" s="184"/>
      <c r="N950" s="185"/>
      <c r="O950" s="186"/>
      <c r="P950" s="187"/>
      <c r="Q950" s="187"/>
    </row>
    <row r="951" spans="13:17" ht="15.75" customHeight="1" x14ac:dyDescent="0.25">
      <c r="M951" s="184"/>
      <c r="N951" s="185"/>
      <c r="O951" s="186"/>
      <c r="P951" s="187"/>
      <c r="Q951" s="187"/>
    </row>
    <row r="952" spans="13:17" ht="15.75" customHeight="1" x14ac:dyDescent="0.25">
      <c r="M952" s="184"/>
      <c r="N952" s="185"/>
      <c r="O952" s="186"/>
      <c r="P952" s="187"/>
      <c r="Q952" s="187"/>
    </row>
    <row r="953" spans="13:17" ht="15.75" customHeight="1" x14ac:dyDescent="0.25">
      <c r="M953" s="184"/>
      <c r="N953" s="185"/>
      <c r="O953" s="186"/>
      <c r="P953" s="187"/>
      <c r="Q953" s="187"/>
    </row>
    <row r="954" spans="13:17" ht="15.75" customHeight="1" x14ac:dyDescent="0.25">
      <c r="M954" s="184"/>
      <c r="N954" s="185"/>
      <c r="O954" s="186"/>
      <c r="P954" s="187"/>
      <c r="Q954" s="187"/>
    </row>
    <row r="955" spans="13:17" ht="15.75" customHeight="1" x14ac:dyDescent="0.25">
      <c r="M955" s="184"/>
      <c r="N955" s="185"/>
      <c r="O955" s="186"/>
      <c r="P955" s="187"/>
      <c r="Q955" s="187"/>
    </row>
    <row r="956" spans="13:17" ht="15.75" customHeight="1" x14ac:dyDescent="0.25">
      <c r="M956" s="184"/>
      <c r="N956" s="185"/>
      <c r="O956" s="186"/>
      <c r="P956" s="187"/>
      <c r="Q956" s="187"/>
    </row>
    <row r="957" spans="13:17" ht="15.75" customHeight="1" x14ac:dyDescent="0.25">
      <c r="M957" s="184"/>
      <c r="N957" s="185"/>
      <c r="O957" s="186"/>
      <c r="P957" s="187"/>
      <c r="Q957" s="187"/>
    </row>
    <row r="958" spans="13:17" ht="15.75" customHeight="1" x14ac:dyDescent="0.25">
      <c r="M958" s="184"/>
      <c r="N958" s="185"/>
      <c r="O958" s="186"/>
      <c r="P958" s="187"/>
      <c r="Q958" s="187"/>
    </row>
    <row r="959" spans="13:17" ht="15.75" customHeight="1" x14ac:dyDescent="0.25">
      <c r="M959" s="184"/>
      <c r="N959" s="185"/>
      <c r="O959" s="186"/>
      <c r="P959" s="187"/>
      <c r="Q959" s="187"/>
    </row>
    <row r="960" spans="13:17" ht="15.75" customHeight="1" x14ac:dyDescent="0.25">
      <c r="M960" s="184"/>
      <c r="N960" s="185"/>
      <c r="O960" s="186"/>
      <c r="P960" s="187"/>
      <c r="Q960" s="187"/>
    </row>
    <row r="961" spans="13:17" ht="15.75" customHeight="1" x14ac:dyDescent="0.25">
      <c r="M961" s="184"/>
      <c r="N961" s="185"/>
      <c r="O961" s="186"/>
      <c r="P961" s="187"/>
      <c r="Q961" s="187"/>
    </row>
    <row r="962" spans="13:17" ht="15.75" customHeight="1" x14ac:dyDescent="0.25">
      <c r="M962" s="184"/>
      <c r="N962" s="185"/>
      <c r="O962" s="186"/>
      <c r="P962" s="187"/>
      <c r="Q962" s="187"/>
    </row>
    <row r="963" spans="13:17" ht="15.75" customHeight="1" x14ac:dyDescent="0.25">
      <c r="M963" s="184"/>
      <c r="N963" s="185"/>
      <c r="O963" s="186"/>
      <c r="P963" s="187"/>
      <c r="Q963" s="187"/>
    </row>
    <row r="964" spans="13:17" ht="15.75" customHeight="1" x14ac:dyDescent="0.25">
      <c r="M964" s="184"/>
      <c r="N964" s="185"/>
      <c r="O964" s="186"/>
      <c r="P964" s="187"/>
      <c r="Q964" s="187"/>
    </row>
    <row r="965" spans="13:17" ht="15.75" customHeight="1" x14ac:dyDescent="0.25">
      <c r="M965" s="184"/>
      <c r="N965" s="185"/>
      <c r="O965" s="186"/>
      <c r="P965" s="187"/>
      <c r="Q965" s="187"/>
    </row>
    <row r="966" spans="13:17" ht="15.75" customHeight="1" x14ac:dyDescent="0.25">
      <c r="M966" s="184"/>
      <c r="N966" s="185"/>
      <c r="O966" s="186"/>
      <c r="P966" s="187"/>
      <c r="Q966" s="187"/>
    </row>
    <row r="967" spans="13:17" ht="15.75" customHeight="1" x14ac:dyDescent="0.25">
      <c r="M967" s="184"/>
      <c r="N967" s="185"/>
      <c r="O967" s="186"/>
      <c r="P967" s="187"/>
      <c r="Q967" s="187"/>
    </row>
    <row r="968" spans="13:17" ht="15.75" customHeight="1" x14ac:dyDescent="0.25">
      <c r="M968" s="184"/>
      <c r="N968" s="185"/>
      <c r="O968" s="186"/>
      <c r="P968" s="187"/>
      <c r="Q968" s="187"/>
    </row>
    <row r="969" spans="13:17" ht="15.75" customHeight="1" x14ac:dyDescent="0.25">
      <c r="M969" s="184"/>
      <c r="N969" s="185"/>
      <c r="O969" s="186"/>
      <c r="P969" s="187"/>
      <c r="Q969" s="187"/>
    </row>
    <row r="970" spans="13:17" ht="15.75" customHeight="1" x14ac:dyDescent="0.25">
      <c r="M970" s="184"/>
      <c r="N970" s="185"/>
      <c r="O970" s="186"/>
      <c r="P970" s="187"/>
      <c r="Q970" s="187"/>
    </row>
    <row r="971" spans="13:17" ht="15.75" customHeight="1" x14ac:dyDescent="0.25">
      <c r="M971" s="184"/>
      <c r="N971" s="185"/>
      <c r="O971" s="186"/>
      <c r="P971" s="187"/>
      <c r="Q971" s="187"/>
    </row>
    <row r="972" spans="13:17" ht="15.75" customHeight="1" x14ac:dyDescent="0.25">
      <c r="M972" s="184"/>
      <c r="N972" s="185"/>
      <c r="O972" s="186"/>
      <c r="P972" s="187"/>
      <c r="Q972" s="187"/>
    </row>
    <row r="973" spans="13:17" ht="15.75" customHeight="1" x14ac:dyDescent="0.25">
      <c r="M973" s="184"/>
      <c r="N973" s="185"/>
      <c r="O973" s="186"/>
      <c r="P973" s="187"/>
      <c r="Q973" s="187"/>
    </row>
    <row r="974" spans="13:17" ht="15.75" customHeight="1" x14ac:dyDescent="0.25">
      <c r="M974" s="184"/>
      <c r="N974" s="185"/>
      <c r="O974" s="186"/>
      <c r="P974" s="187"/>
      <c r="Q974" s="187"/>
    </row>
    <row r="975" spans="13:17" ht="15.75" customHeight="1" x14ac:dyDescent="0.25">
      <c r="M975" s="184"/>
      <c r="N975" s="185"/>
      <c r="O975" s="186"/>
      <c r="P975" s="187"/>
      <c r="Q975" s="187"/>
    </row>
    <row r="976" spans="13:17" ht="15.75" customHeight="1" x14ac:dyDescent="0.25">
      <c r="M976" s="184"/>
      <c r="N976" s="185"/>
      <c r="O976" s="186"/>
      <c r="P976" s="187"/>
      <c r="Q976" s="187"/>
    </row>
    <row r="977" spans="13:17" ht="15.75" customHeight="1" x14ac:dyDescent="0.25">
      <c r="M977" s="184"/>
      <c r="N977" s="185"/>
      <c r="O977" s="186"/>
      <c r="P977" s="187"/>
      <c r="Q977" s="187"/>
    </row>
    <row r="978" spans="13:17" ht="15.75" customHeight="1" x14ac:dyDescent="0.25">
      <c r="M978" s="184"/>
      <c r="N978" s="185"/>
      <c r="O978" s="186"/>
      <c r="P978" s="187"/>
      <c r="Q978" s="187"/>
    </row>
    <row r="979" spans="13:17" ht="15.75" customHeight="1" x14ac:dyDescent="0.25">
      <c r="M979" s="184"/>
      <c r="N979" s="185"/>
      <c r="O979" s="186"/>
      <c r="P979" s="187"/>
      <c r="Q979" s="187"/>
    </row>
    <row r="980" spans="13:17" ht="15.75" customHeight="1" x14ac:dyDescent="0.25">
      <c r="M980" s="184"/>
      <c r="N980" s="185"/>
      <c r="O980" s="186"/>
      <c r="P980" s="187"/>
      <c r="Q980" s="187"/>
    </row>
    <row r="981" spans="13:17" ht="15.75" customHeight="1" x14ac:dyDescent="0.25">
      <c r="M981" s="184"/>
      <c r="N981" s="185"/>
      <c r="O981" s="186"/>
      <c r="P981" s="187"/>
      <c r="Q981" s="187"/>
    </row>
    <row r="982" spans="13:17" ht="15.75" customHeight="1" x14ac:dyDescent="0.25">
      <c r="M982" s="184"/>
      <c r="N982" s="185"/>
      <c r="O982" s="186"/>
      <c r="P982" s="187"/>
      <c r="Q982" s="187"/>
    </row>
    <row r="983" spans="13:17" ht="15.75" customHeight="1" x14ac:dyDescent="0.25">
      <c r="M983" s="184"/>
      <c r="N983" s="185"/>
      <c r="O983" s="186"/>
      <c r="P983" s="187"/>
      <c r="Q983" s="187"/>
    </row>
    <row r="984" spans="13:17" ht="15.75" customHeight="1" x14ac:dyDescent="0.25">
      <c r="M984" s="184"/>
      <c r="N984" s="185"/>
      <c r="O984" s="186"/>
      <c r="P984" s="187"/>
      <c r="Q984" s="187"/>
    </row>
    <row r="985" spans="13:17" ht="15.75" customHeight="1" x14ac:dyDescent="0.25">
      <c r="M985" s="184"/>
      <c r="N985" s="185"/>
      <c r="O985" s="186"/>
      <c r="P985" s="187"/>
      <c r="Q985" s="187"/>
    </row>
    <row r="986" spans="13:17" ht="15.75" customHeight="1" x14ac:dyDescent="0.25">
      <c r="M986" s="184"/>
      <c r="N986" s="185"/>
      <c r="O986" s="186"/>
      <c r="P986" s="187"/>
      <c r="Q986" s="187"/>
    </row>
    <row r="987" spans="13:17" ht="15.75" customHeight="1" x14ac:dyDescent="0.25">
      <c r="M987" s="184"/>
      <c r="N987" s="185"/>
      <c r="O987" s="186"/>
      <c r="P987" s="187"/>
      <c r="Q987" s="187"/>
    </row>
    <row r="988" spans="13:17" ht="15.75" customHeight="1" x14ac:dyDescent="0.25">
      <c r="M988" s="184"/>
      <c r="N988" s="185"/>
      <c r="O988" s="186"/>
      <c r="P988" s="187"/>
      <c r="Q988" s="187"/>
    </row>
    <row r="989" spans="13:17" ht="15.75" customHeight="1" x14ac:dyDescent="0.25">
      <c r="M989" s="184"/>
      <c r="N989" s="185"/>
      <c r="O989" s="186"/>
      <c r="P989" s="187"/>
      <c r="Q989" s="187"/>
    </row>
    <row r="990" spans="13:17" ht="15.75" customHeight="1" x14ac:dyDescent="0.25">
      <c r="M990" s="184"/>
      <c r="N990" s="185"/>
      <c r="O990" s="186"/>
      <c r="P990" s="187"/>
      <c r="Q990" s="187"/>
    </row>
    <row r="991" spans="13:17" ht="15.75" customHeight="1" x14ac:dyDescent="0.25">
      <c r="M991" s="184"/>
      <c r="N991" s="185"/>
      <c r="O991" s="186"/>
      <c r="P991" s="187"/>
      <c r="Q991" s="187"/>
    </row>
    <row r="992" spans="13:17" ht="15.75" customHeight="1" x14ac:dyDescent="0.25">
      <c r="M992" s="184"/>
      <c r="N992" s="185"/>
      <c r="O992" s="186"/>
      <c r="P992" s="187"/>
      <c r="Q992" s="187"/>
    </row>
    <row r="993" spans="13:17" ht="15.75" customHeight="1" x14ac:dyDescent="0.25">
      <c r="M993" s="184"/>
      <c r="N993" s="185"/>
      <c r="O993" s="186"/>
      <c r="P993" s="187"/>
      <c r="Q993" s="187"/>
    </row>
    <row r="994" spans="13:17" ht="15.75" customHeight="1" x14ac:dyDescent="0.25">
      <c r="M994" s="184"/>
      <c r="N994" s="185"/>
      <c r="O994" s="186"/>
      <c r="P994" s="187"/>
      <c r="Q994" s="187"/>
    </row>
    <row r="995" spans="13:17" ht="15.75" customHeight="1" x14ac:dyDescent="0.25">
      <c r="M995" s="184"/>
      <c r="N995" s="185"/>
      <c r="O995" s="186"/>
      <c r="P995" s="187"/>
      <c r="Q995" s="187"/>
    </row>
    <row r="996" spans="13:17" ht="15.75" customHeight="1" x14ac:dyDescent="0.25">
      <c r="M996" s="184"/>
      <c r="N996" s="185"/>
      <c r="O996" s="186"/>
      <c r="P996" s="187"/>
      <c r="Q996" s="187"/>
    </row>
    <row r="997" spans="13:17" ht="15.75" customHeight="1" x14ac:dyDescent="0.25">
      <c r="M997" s="184"/>
      <c r="N997" s="185"/>
      <c r="O997" s="186"/>
      <c r="P997" s="187"/>
      <c r="Q997" s="187"/>
    </row>
    <row r="998" spans="13:17" ht="15.75" customHeight="1" x14ac:dyDescent="0.25">
      <c r="M998" s="184"/>
      <c r="N998" s="185"/>
      <c r="O998" s="186"/>
      <c r="P998" s="187"/>
      <c r="Q998" s="187"/>
    </row>
    <row r="999" spans="13:17" ht="15.75" customHeight="1" x14ac:dyDescent="0.25">
      <c r="M999" s="184"/>
      <c r="N999" s="185"/>
      <c r="O999" s="186"/>
      <c r="P999" s="187"/>
      <c r="Q999" s="187"/>
    </row>
    <row r="1000" spans="13:17" ht="15.75" customHeight="1" x14ac:dyDescent="0.25">
      <c r="M1000" s="184"/>
      <c r="N1000" s="185"/>
      <c r="O1000" s="186"/>
      <c r="P1000" s="187"/>
      <c r="Q1000" s="187"/>
    </row>
  </sheetData>
  <hyperlinks>
    <hyperlink ref="N2" r:id="rId1" xr:uid="{00000000-0004-0000-0400-000000000000}"/>
    <hyperlink ref="N3" r:id="rId2" xr:uid="{00000000-0004-0000-0400-000001000000}"/>
    <hyperlink ref="N4" r:id="rId3" xr:uid="{00000000-0004-0000-0400-000002000000}"/>
    <hyperlink ref="N5" r:id="rId4" xr:uid="{00000000-0004-0000-0400-000003000000}"/>
    <hyperlink ref="N6" r:id="rId5" xr:uid="{00000000-0004-0000-0400-000004000000}"/>
    <hyperlink ref="N7" r:id="rId6" xr:uid="{00000000-0004-0000-0400-000005000000}"/>
    <hyperlink ref="N8" r:id="rId7" xr:uid="{00000000-0004-0000-0400-000006000000}"/>
    <hyperlink ref="N9" r:id="rId8" xr:uid="{00000000-0004-0000-0400-000007000000}"/>
    <hyperlink ref="N10" r:id="rId9" xr:uid="{00000000-0004-0000-0400-000008000000}"/>
    <hyperlink ref="N11" r:id="rId10" xr:uid="{00000000-0004-0000-0400-000009000000}"/>
    <hyperlink ref="N12" r:id="rId11" xr:uid="{00000000-0004-0000-0400-00000A000000}"/>
    <hyperlink ref="N13" r:id="rId12" xr:uid="{00000000-0004-0000-0400-00000B000000}"/>
    <hyperlink ref="N14" r:id="rId13" xr:uid="{00000000-0004-0000-0400-00000C000000}"/>
    <hyperlink ref="N15" r:id="rId14" xr:uid="{00000000-0004-0000-0400-00000D000000}"/>
    <hyperlink ref="N16" r:id="rId15" xr:uid="{00000000-0004-0000-0400-00000E000000}"/>
    <hyperlink ref="N17" r:id="rId16" xr:uid="{00000000-0004-0000-0400-00000F000000}"/>
    <hyperlink ref="N18" r:id="rId17" xr:uid="{00000000-0004-0000-0400-000010000000}"/>
    <hyperlink ref="N19" r:id="rId18" xr:uid="{00000000-0004-0000-0400-000011000000}"/>
    <hyperlink ref="N20" r:id="rId19" xr:uid="{00000000-0004-0000-0400-000012000000}"/>
    <hyperlink ref="N21" r:id="rId20" xr:uid="{00000000-0004-0000-0400-000013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FC78-2AFE-4EB9-BD81-E52F664F2AAE}">
  <dimension ref="A1:M3"/>
  <sheetViews>
    <sheetView tabSelected="1" workbookViewId="0">
      <selection activeCell="A2" sqref="A2"/>
    </sheetView>
  </sheetViews>
  <sheetFormatPr defaultRowHeight="15" x14ac:dyDescent="0.25"/>
  <cols>
    <col min="1" max="13" width="20.7109375" customWidth="1"/>
  </cols>
  <sheetData>
    <row r="1" spans="1:13" ht="39.950000000000003" customHeight="1" x14ac:dyDescent="0.25">
      <c r="A1" s="73" t="s">
        <v>0</v>
      </c>
      <c r="B1" s="73" t="s">
        <v>1</v>
      </c>
      <c r="C1" s="73" t="s">
        <v>2</v>
      </c>
      <c r="D1" s="73" t="s">
        <v>3</v>
      </c>
      <c r="E1" s="73" t="s">
        <v>446</v>
      </c>
      <c r="F1" s="73" t="s">
        <v>447</v>
      </c>
      <c r="G1" s="73" t="s">
        <v>448</v>
      </c>
      <c r="H1" s="73" t="s">
        <v>449</v>
      </c>
      <c r="I1" s="73" t="s">
        <v>450</v>
      </c>
      <c r="J1" s="73" t="s">
        <v>451</v>
      </c>
      <c r="K1" s="73" t="s">
        <v>452</v>
      </c>
      <c r="L1" s="73" t="s">
        <v>453</v>
      </c>
      <c r="M1" s="73" t="s">
        <v>454</v>
      </c>
    </row>
    <row r="2" spans="1:13" ht="20.100000000000001" customHeight="1" x14ac:dyDescent="0.25">
      <c r="A2" s="188" t="s">
        <v>28</v>
      </c>
      <c r="B2" s="188" t="s">
        <v>29</v>
      </c>
      <c r="C2" s="188" t="s">
        <v>30</v>
      </c>
      <c r="D2" s="188" t="s">
        <v>31</v>
      </c>
      <c r="E2" s="188">
        <v>60</v>
      </c>
      <c r="F2" s="189">
        <f>'Exterior Wall Systems'!Q2+'Exterior Wall Systems'!Q3+'Exterior Wall Systems'!Q4+'Exterior Wall Systems'!Q5+'Exterior Wall Systems'!Q6+'Exterior Wall Systems'!Q7+'Exterior Wall Systems'!Q8+'Exterior Wall Systems'!Q9+'Exterior Wall Systems'!Q10</f>
        <v>31.480525</v>
      </c>
      <c r="G2" s="190">
        <f>500*F2/1000</f>
        <v>15.7402625</v>
      </c>
      <c r="H2" s="188">
        <v>9.6119999999999997E-2</v>
      </c>
      <c r="I2" s="188">
        <f>PRODUCT(E2,G2,H2)</f>
        <v>90.777241889999999</v>
      </c>
      <c r="J2" s="188">
        <v>0.64734000000000003</v>
      </c>
      <c r="K2" s="188">
        <f>PRODUCT(E2,J2)</f>
        <v>38.840400000000002</v>
      </c>
      <c r="L2" s="188">
        <f>SUM(I2,K2)</f>
        <v>129.61764189000002</v>
      </c>
      <c r="M2" s="188">
        <f>L2/500</f>
        <v>0.25923528378000005</v>
      </c>
    </row>
    <row r="3" spans="1:13" ht="20.100000000000001" customHeight="1" x14ac:dyDescent="0.25">
      <c r="A3" s="191" t="s">
        <v>28</v>
      </c>
      <c r="B3" s="191" t="s">
        <v>64</v>
      </c>
      <c r="C3" s="191" t="s">
        <v>65</v>
      </c>
      <c r="D3" s="191" t="s">
        <v>66</v>
      </c>
      <c r="E3" s="191">
        <v>60</v>
      </c>
      <c r="F3" s="192">
        <f>'Exterior Wall Systems'!Q11+'Exterior Wall Systems'!Q12+'Exterior Wall Systems'!Q13+'Exterior Wall Systems'!Q14+'Exterior Wall Systems'!Q15+'Exterior Wall Systems'!Q16+'Exterior Wall Systems'!Q17+'Exterior Wall Systems'!Q18+'Exterior Wall Systems'!Q19</f>
        <v>38.759791666666665</v>
      </c>
      <c r="G3" s="193">
        <f>500*F3/1000</f>
        <v>19.379895833333332</v>
      </c>
      <c r="H3" s="191">
        <v>9.6119999999999997E-2</v>
      </c>
      <c r="I3" s="191">
        <f>PRODUCT(E3,G3,H3)</f>
        <v>111.76773525</v>
      </c>
      <c r="J3" s="191">
        <v>0.64734000000000003</v>
      </c>
      <c r="K3" s="191">
        <f>PRODUCT(E3,J3)</f>
        <v>38.840400000000002</v>
      </c>
      <c r="L3" s="191">
        <f>SUM(I3,K3)</f>
        <v>150.60813525</v>
      </c>
      <c r="M3" s="191">
        <f>L3/500</f>
        <v>0.30121627049999999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Exterior Wall Systems</vt:lpstr>
      <vt:lpstr>Interior Wall Systems</vt:lpstr>
      <vt:lpstr>Cladding Systems</vt:lpstr>
      <vt:lpstr>Slab Systems</vt:lpstr>
      <vt:lpstr>Floor Finishes</vt:lpstr>
      <vt:lpstr>A4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Gokhan Dede</cp:lastModifiedBy>
  <dcterms:modified xsi:type="dcterms:W3CDTF">2025-10-06T09:42:39Z</dcterms:modified>
</cp:coreProperties>
</file>